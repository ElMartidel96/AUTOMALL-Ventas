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Dashboard" sheetId="2" state="visible" r:id="rId2"/>
    <sheet name="Instrucciones" sheetId="3" state="visible" r:id="rId3"/>
    <sheet name="Catá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M/DD/YYYY"/>
  </numFmts>
  <fonts count="17">
    <font>
      <name val="Calibri"/>
      <family val="2"/>
      <color theme="1"/>
      <sz val="11"/>
      <scheme val="minor"/>
    </font>
    <font>
      <name val="Calibri"/>
      <b val="1"/>
      <color rgb="00E8832A"/>
      <sz val="20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color rgb="000D1B2A"/>
      <sz val="10"/>
    </font>
    <font>
      <name val="Calibri"/>
      <b val="1"/>
      <color rgb="00FFFFFF"/>
      <sz val="10"/>
    </font>
    <font>
      <name val="Calibri"/>
      <b val="1"/>
      <color rgb="00E8832A"/>
      <sz val="18"/>
    </font>
    <font>
      <name val="Calibri"/>
      <i val="1"/>
      <color rgb="00FFFFFF"/>
      <sz val="9"/>
    </font>
    <font>
      <name val="Calibri"/>
      <b val="1"/>
      <color rgb="001B3A6B"/>
      <sz val="20"/>
    </font>
    <font>
      <name val="Calibri"/>
      <b val="1"/>
      <color rgb="001B5E20"/>
      <sz val="12"/>
    </font>
    <font>
      <name val="Calibri"/>
      <b val="1"/>
      <color rgb="00C62828"/>
      <sz val="12"/>
    </font>
    <font>
      <name val="Calibri"/>
      <b val="1"/>
      <color rgb="005A6A7E"/>
      <sz val="12"/>
    </font>
    <font>
      <name val="Calibri"/>
      <b val="1"/>
      <color rgb="00E65100"/>
      <sz val="12"/>
    </font>
    <font>
      <name val="Calibri"/>
      <b val="1"/>
      <color rgb="001B3A6B"/>
      <sz val="12"/>
    </font>
    <font>
      <name val="Calibri"/>
      <b val="1"/>
      <color rgb="002D8F4E"/>
      <sz val="18"/>
    </font>
    <font>
      <name val="Calibri"/>
      <b val="1"/>
      <color rgb="002B5EA7"/>
      <sz val="10"/>
    </font>
    <font>
      <name val="Calibri"/>
      <b val="1"/>
      <color rgb="00FFFFFF"/>
      <sz val="14"/>
    </font>
  </fonts>
  <fills count="1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6B"/>
      </patternFill>
    </fill>
    <fill>
      <patternFill patternType="solid">
        <fgColor rgb="002B5EA7"/>
      </patternFill>
    </fill>
    <fill>
      <patternFill patternType="solid">
        <fgColor rgb="001A5C2B"/>
      </patternFill>
    </fill>
    <fill>
      <patternFill patternType="solid">
        <fgColor rgb="00E8832A"/>
      </patternFill>
    </fill>
    <fill>
      <patternFill patternType="solid">
        <fgColor rgb="004A148C"/>
      </patternFill>
    </fill>
    <fill>
      <patternFill patternType="solid">
        <fgColor rgb="002D8F4E"/>
      </patternFill>
    </fill>
    <fill>
      <patternFill patternType="solid">
        <fgColor rgb="005A6A7E"/>
      </patternFill>
    </fill>
    <fill>
      <patternFill patternType="solid">
        <fgColor rgb="00F4F6FA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E8EEF7"/>
      </patternFill>
    </fill>
    <fill>
      <patternFill patternType="solid">
        <fgColor rgb="00FFF8E1"/>
      </patternFill>
    </fill>
  </fills>
  <borders count="10">
    <border>
      <left/>
      <right/>
      <top/>
      <bottom/>
      <diagonal/>
    </border>
    <border>
      <left style="thin">
        <color rgb="000D1B2A"/>
      </left>
      <right style="thin">
        <color rgb="000D1B2A"/>
      </right>
      <top style="thin">
        <color rgb="000D1B2A"/>
      </top>
      <bottom style="thin">
        <color rgb="000D1B2A"/>
      </bottom>
    </border>
    <border>
      <left style="thin">
        <color rgb="001B3A6B"/>
      </left>
      <right style="thin">
        <color rgb="001B3A6B"/>
      </right>
      <top style="thin">
        <color rgb="001B3A6B"/>
      </top>
      <bottom style="thin">
        <color rgb="001B3A6B"/>
      </bottom>
    </border>
    <border>
      <left style="thin">
        <color rgb="002B5EA7"/>
      </left>
      <right style="thin">
        <color rgb="002B5EA7"/>
      </right>
      <top style="thin">
        <color rgb="002B5EA7"/>
      </top>
      <bottom style="thin">
        <color rgb="002B5EA7"/>
      </bottom>
    </border>
    <border>
      <left style="thin">
        <color rgb="001A5C2B"/>
      </left>
      <right style="thin">
        <color rgb="001A5C2B"/>
      </right>
      <top style="thin">
        <color rgb="001A5C2B"/>
      </top>
      <bottom style="thin">
        <color rgb="001A5C2B"/>
      </bottom>
    </border>
    <border>
      <left style="thin">
        <color rgb="00E8832A"/>
      </left>
      <right style="thin">
        <color rgb="00E8832A"/>
      </right>
      <top style="thin">
        <color rgb="00E8832A"/>
      </top>
      <bottom style="thin">
        <color rgb="00E8832A"/>
      </bottom>
    </border>
    <border>
      <left style="thin">
        <color rgb="004A148C"/>
      </left>
      <right style="thin">
        <color rgb="004A148C"/>
      </right>
      <top style="thin">
        <color rgb="004A148C"/>
      </top>
      <bottom style="thin">
        <color rgb="004A148C"/>
      </bottom>
    </border>
    <border>
      <left style="thin">
        <color rgb="002D8F4E"/>
      </left>
      <right style="thin">
        <color rgb="002D8F4E"/>
      </right>
      <top style="thin">
        <color rgb="002D8F4E"/>
      </top>
      <bottom style="thin">
        <color rgb="002D8F4E"/>
      </bottom>
    </border>
    <border>
      <left style="thin">
        <color rgb="005A6A7E"/>
      </left>
      <right style="thin">
        <color rgb="005A6A7E"/>
      </right>
      <top style="thin">
        <color rgb="005A6A7E"/>
      </top>
      <bottom style="thin">
        <color rgb="005A6A7E"/>
      </bottom>
    </border>
    <border>
      <left style="thin">
        <color rgb="00DDE2EC"/>
      </left>
      <right style="thin">
        <color rgb="00DDE2EC"/>
      </right>
      <top style="thin">
        <color rgb="00DDE2EC"/>
      </top>
      <bottom style="thin">
        <color rgb="00DDE2E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9" borderId="8" applyAlignment="1" pivotButton="0" quotePrefix="0" xfId="0">
      <alignment horizontal="center" vertical="center" wrapText="1"/>
    </xf>
    <xf numFmtId="0" fontId="3" fillId="17" borderId="9" applyAlignment="1" pivotButton="0" quotePrefix="0" xfId="0">
      <alignment horizontal="center" vertical="center"/>
    </xf>
    <xf numFmtId="165" fontId="4" fillId="17" borderId="9" applyAlignment="1" pivotButton="0" quotePrefix="0" xfId="0">
      <alignment horizontal="center" vertical="center"/>
    </xf>
    <xf numFmtId="0" fontId="4" fillId="17" borderId="9" applyAlignment="1" pivotButton="0" quotePrefix="0" xfId="0">
      <alignment horizontal="center" vertical="center"/>
    </xf>
    <xf numFmtId="3" fontId="4" fillId="17" borderId="9" applyAlignment="1" pivotButton="0" quotePrefix="0" xfId="0">
      <alignment horizontal="center" vertical="center"/>
    </xf>
    <xf numFmtId="164" fontId="4" fillId="17" borderId="9" applyAlignment="1" pivotButton="0" quotePrefix="0" xfId="0">
      <alignment horizontal="center" vertical="center"/>
    </xf>
    <xf numFmtId="0" fontId="4" fillId="17" borderId="9" applyAlignment="1" pivotButton="0" quotePrefix="0" xfId="0">
      <alignment horizontal="left" vertical="center" wrapText="1"/>
    </xf>
    <xf numFmtId="0" fontId="3" fillId="3" borderId="9" applyAlignment="1" pivotButton="0" quotePrefix="0" xfId="0">
      <alignment horizontal="center" vertical="center"/>
    </xf>
    <xf numFmtId="165" fontId="4" fillId="11" borderId="9" applyAlignment="1" pivotButton="0" quotePrefix="0" xfId="0">
      <alignment horizontal="center" vertical="center"/>
    </xf>
    <xf numFmtId="0" fontId="4" fillId="11" borderId="9" applyAlignment="1" pivotButton="0" quotePrefix="0" xfId="0">
      <alignment horizontal="center" vertical="center"/>
    </xf>
    <xf numFmtId="3" fontId="4" fillId="11" borderId="9" applyAlignment="1" pivotButton="0" quotePrefix="0" xfId="0">
      <alignment horizontal="center" vertical="center"/>
    </xf>
    <xf numFmtId="164" fontId="4" fillId="11" borderId="9" applyAlignment="1" pivotButton="0" quotePrefix="0" xfId="0">
      <alignment horizontal="center" vertical="center"/>
    </xf>
    <xf numFmtId="0" fontId="4" fillId="11" borderId="9" applyAlignment="1" pivotButton="0" quotePrefix="0" xfId="0">
      <alignment horizontal="left" vertical="center" wrapText="1"/>
    </xf>
    <xf numFmtId="0" fontId="3" fillId="4" borderId="9" applyAlignment="1" pivotButton="0" quotePrefix="0" xfId="0">
      <alignment horizontal="center" vertical="center"/>
    </xf>
    <xf numFmtId="165" fontId="4" fillId="10" borderId="9" applyAlignment="1" pivotButton="0" quotePrefix="0" xfId="0">
      <alignment horizontal="center" vertical="center"/>
    </xf>
    <xf numFmtId="0" fontId="4" fillId="10" borderId="9" applyAlignment="1" pivotButton="0" quotePrefix="0" xfId="0">
      <alignment horizontal="center" vertical="center"/>
    </xf>
    <xf numFmtId="3" fontId="4" fillId="10" borderId="9" applyAlignment="1" pivotButton="0" quotePrefix="0" xfId="0">
      <alignment horizontal="center" vertical="center"/>
    </xf>
    <xf numFmtId="164" fontId="4" fillId="10" borderId="9" applyAlignment="1" pivotButton="0" quotePrefix="0" xfId="0">
      <alignment horizontal="center" vertical="center"/>
    </xf>
    <xf numFmtId="0" fontId="4" fillId="10" borderId="9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10" borderId="9" applyAlignment="1" pivotButton="0" quotePrefix="0" xfId="0">
      <alignment horizontal="center" vertical="center"/>
    </xf>
    <xf numFmtId="164" fontId="8" fillId="10" borderId="9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5" fillId="3" borderId="9" applyAlignment="1" pivotButton="0" quotePrefix="0" xfId="0">
      <alignment horizontal="left" vertical="center"/>
    </xf>
    <xf numFmtId="0" fontId="9" fillId="12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left" vertical="center"/>
    </xf>
    <xf numFmtId="0" fontId="10" fillId="13" borderId="9" applyAlignment="1" pivotButton="0" quotePrefix="0" xfId="0">
      <alignment horizontal="center" vertical="center"/>
    </xf>
    <xf numFmtId="0" fontId="11" fillId="14" borderId="9" applyAlignment="1" pivotButton="0" quotePrefix="0" xfId="0">
      <alignment horizontal="center" vertical="center"/>
    </xf>
    <xf numFmtId="164" fontId="12" fillId="15" borderId="9" applyAlignment="1" pivotButton="0" quotePrefix="0" xfId="0">
      <alignment horizontal="center" vertical="center"/>
    </xf>
    <xf numFmtId="164" fontId="9" fillId="12" borderId="9" applyAlignment="1" pivotButton="0" quotePrefix="0" xfId="0">
      <alignment horizontal="center" vertical="center"/>
    </xf>
    <xf numFmtId="0" fontId="12" fillId="15" borderId="9" applyAlignment="1" pivotButton="0" quotePrefix="0" xfId="0">
      <alignment horizontal="center" vertical="center"/>
    </xf>
    <xf numFmtId="164" fontId="13" fillId="16" borderId="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15" fillId="10" borderId="9" applyAlignment="1" pivotButton="0" quotePrefix="0" xfId="0">
      <alignment horizontal="left" vertical="center"/>
    </xf>
    <xf numFmtId="0" fontId="15" fillId="11" borderId="9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4" fillId="10" borderId="9" applyAlignment="1" pivotButton="0" quotePrefix="0" xfId="0">
      <alignment horizontal="left" vertical="center"/>
    </xf>
    <xf numFmtId="0" fontId="4" fillId="11" borderId="9" applyAlignment="1" pivotButton="0" quotePrefix="0" xfId="0">
      <alignment horizontal="left" vertical="center"/>
    </xf>
  </cellXfs>
  <cellStyles count="1">
    <cellStyle name="Normal" xfId="0" builtinId="0" hidden="0"/>
  </cellStyles>
  <dxfs count="8">
    <dxf>
      <font>
        <name val="Calibri"/>
        <b val="1"/>
        <color rgb="001B5E20"/>
        <sz val="10"/>
      </font>
      <fill>
        <patternFill patternType="solid">
          <fgColor rgb="00C8E6C9"/>
        </patternFill>
      </fill>
    </dxf>
    <dxf>
      <font>
        <name val="Calibri"/>
        <b val="1"/>
        <color rgb="00C62828"/>
        <sz val="10"/>
      </font>
      <fill>
        <patternFill patternType="solid">
          <fgColor rgb="00FFCDD2"/>
        </patternFill>
      </fill>
    </dxf>
    <dxf>
      <font>
        <name val="Calibri"/>
        <b val="1"/>
        <color rgb="007F0000"/>
        <sz val="10"/>
      </font>
      <fill>
        <patternFill patternType="solid">
          <fgColor rgb="00EF9A9A"/>
        </patternFill>
      </fill>
    </dxf>
    <dxf>
      <font>
        <name val="Calibri"/>
        <b val="1"/>
        <color rgb="00E65100"/>
        <sz val="10"/>
      </font>
      <fill>
        <patternFill patternType="solid">
          <fgColor rgb="00FFF9C4"/>
        </patternFill>
      </fill>
    </dxf>
    <dxf>
      <font>
        <name val="Calibri"/>
        <b val="1"/>
        <color rgb="000D47A1"/>
        <sz val="10"/>
      </font>
      <fill>
        <patternFill patternType="solid">
          <fgColor rgb="00BBDEFB"/>
        </patternFill>
      </fill>
    </dxf>
    <dxf>
      <font>
        <name val="Calibri"/>
        <b val="1"/>
        <color rgb="005A6A7E"/>
        <sz val="10"/>
      </font>
      <fill>
        <patternFill patternType="solid">
          <fgColor rgb="00F5F5F5"/>
        </patternFill>
      </fill>
    </dxf>
    <dxf>
      <fill>
        <patternFill patternType="solid">
          <fgColor rgb="00E8EEF7"/>
        </patternFill>
      </fill>
    </dxf>
    <dxf>
      <font>
        <name val="Calibri"/>
        <b val="1"/>
        <color rgb="00E8832A"/>
        <sz val="10"/>
      </font>
      <fill>
        <patternFill patternType="solid">
          <f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AN15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26" customWidth="1" min="3" max="3"/>
    <col width="15" customWidth="1" min="4" max="4"/>
    <col width="24" customWidth="1" min="5" max="5"/>
    <col width="20" customWidth="1" min="6" max="6"/>
    <col width="13" customWidth="1" min="7" max="7"/>
    <col width="13" customWidth="1" min="8" max="8"/>
    <col width="13" customWidth="1" min="9" max="9"/>
    <col width="7" customWidth="1" min="10" max="10"/>
    <col width="11" customWidth="1" min="11" max="11"/>
    <col width="20" customWidth="1" min="12" max="12"/>
    <col width="11" customWidth="1" min="13" max="13"/>
    <col width="13" customWidth="1" min="14" max="14"/>
    <col width="13" customWidth="1" min="15" max="15"/>
    <col width="14" customWidth="1" min="16" max="16"/>
    <col width="9" customWidth="1" min="17" max="17"/>
    <col width="10" customWidth="1" min="18" max="18"/>
    <col width="13" customWidth="1" min="19" max="19"/>
    <col width="13" customWidth="1" min="20" max="20"/>
    <col width="13" customWidth="1" min="21" max="21"/>
    <col width="13" customWidth="1" min="22" max="22"/>
    <col width="11" customWidth="1" min="23" max="23"/>
    <col width="13" customWidth="1" min="24" max="24"/>
    <col width="11" customWidth="1" min="25" max="25"/>
    <col width="13" customWidth="1" min="26" max="26"/>
    <col width="11" customWidth="1" min="27" max="27"/>
    <col width="13" customWidth="1" min="28" max="28"/>
    <col width="11" customWidth="1" min="29" max="29"/>
    <col width="13" customWidth="1" min="30" max="30"/>
    <col width="11" customWidth="1" min="31" max="31"/>
    <col width="13" customWidth="1" min="32" max="32"/>
    <col width="11" customWidth="1" min="33" max="33"/>
    <col width="14" customWidth="1" min="34" max="34"/>
    <col width="14" customWidth="1" min="35" max="35"/>
    <col width="18" customWidth="1" min="36" max="36"/>
    <col width="9" customWidth="1" min="37" max="37"/>
    <col width="13" customWidth="1" min="38" max="38"/>
    <col width="13" customWidth="1" min="39" max="39"/>
    <col width="35" customWidth="1" min="40" max="40"/>
  </cols>
  <sheetData>
    <row r="1" ht="42" customHeight="1">
      <c r="A1" s="1" t="inlineStr">
        <is>
          <t>AUTOMALL  ·  CONTROL DE VENTAS</t>
        </is>
      </c>
    </row>
    <row r="2" ht="16" customHeight="1">
      <c r="A2" s="2" t="inlineStr">
        <is>
          <t>ID</t>
        </is>
      </c>
      <c r="B2" s="3" t="inlineStr">
        <is>
          <t>INFO</t>
        </is>
      </c>
      <c r="C2" s="3" t="inlineStr">
        <is>
          <t>CLIENTE</t>
        </is>
      </c>
      <c r="H2" s="4" t="inlineStr">
        <is>
          <t>VEHÍCULO</t>
        </is>
      </c>
      <c r="N2" s="5" t="inlineStr">
        <is>
          <t>FINANCIERO</t>
        </is>
      </c>
      <c r="Q2" s="6" t="inlineStr">
        <is>
          <t>PICK PAYMENT</t>
        </is>
      </c>
      <c r="V2" s="7" t="inlineStr">
        <is>
          <t>CALENDARIO DE PAGOS</t>
        </is>
      </c>
      <c r="AH2" s="8" t="inlineStr">
        <is>
          <t>RESUMEN</t>
        </is>
      </c>
      <c r="AJ2" s="9" t="inlineStr">
        <is>
          <t>ADICIONAL</t>
        </is>
      </c>
    </row>
    <row r="3" ht="50" customHeight="1">
      <c r="A3" s="10" t="inlineStr">
        <is>
          <t>#</t>
        </is>
      </c>
      <c r="B3" s="11" t="inlineStr">
        <is>
          <t>FECHA
VENTA</t>
        </is>
      </c>
      <c r="C3" s="11" t="inlineStr">
        <is>
          <t>NOMBRE
CLIENTE</t>
        </is>
      </c>
      <c r="D3" s="11" t="inlineStr">
        <is>
          <t>TELÉFONO</t>
        </is>
      </c>
      <c r="E3" s="11" t="inlineStr">
        <is>
          <t>EMAIL</t>
        </is>
      </c>
      <c r="F3" s="11" t="inlineStr">
        <is>
          <t>REFERIDO POR</t>
        </is>
      </c>
      <c r="G3" s="11" t="inlineStr">
        <is>
          <t>FUENTE</t>
        </is>
      </c>
      <c r="H3" s="12" t="inlineStr">
        <is>
          <t>MARCA</t>
        </is>
      </c>
      <c r="I3" s="12" t="inlineStr">
        <is>
          <t>MODELO</t>
        </is>
      </c>
      <c r="J3" s="12" t="inlineStr">
        <is>
          <t>AÑO</t>
        </is>
      </c>
      <c r="K3" s="12" t="inlineStr">
        <is>
          <t>COLOR</t>
        </is>
      </c>
      <c r="L3" s="12" t="inlineStr">
        <is>
          <t>VIN</t>
        </is>
      </c>
      <c r="M3" s="12" t="inlineStr">
        <is>
          <t>MILLAJE</t>
        </is>
      </c>
      <c r="N3" s="13" t="inlineStr">
        <is>
          <t>PRECIO
VENTA</t>
        </is>
      </c>
      <c r="O3" s="13" t="inlineStr">
        <is>
          <t>ENGANCHE</t>
        </is>
      </c>
      <c r="P3" s="13" t="inlineStr">
        <is>
          <t>MONTO
FINANCIADO</t>
        </is>
      </c>
      <c r="Q3" s="14" t="inlineStr">
        <is>
          <t>PICK
PAYMENT</t>
        </is>
      </c>
      <c r="R3" s="14" t="inlineStr">
        <is>
          <t># CUOTAS</t>
        </is>
      </c>
      <c r="S3" s="14" t="inlineStr">
        <is>
          <t>1er PAGO
(FECHA)</t>
        </is>
      </c>
      <c r="T3" s="14" t="inlineStr">
        <is>
          <t>DÍA DE
PAGO</t>
        </is>
      </c>
      <c r="U3" s="14" t="inlineStr">
        <is>
          <t>CUOTA
SEMANAL</t>
        </is>
      </c>
      <c r="V3" s="15" t="inlineStr">
        <is>
          <t>PAGO 1
FECHA</t>
        </is>
      </c>
      <c r="W3" s="15" t="inlineStr">
        <is>
          <t>P1
ESTATUS</t>
        </is>
      </c>
      <c r="X3" s="15" t="inlineStr">
        <is>
          <t>PAGO 2
FECHA</t>
        </is>
      </c>
      <c r="Y3" s="15" t="inlineStr">
        <is>
          <t>P2
ESTATUS</t>
        </is>
      </c>
      <c r="Z3" s="15" t="inlineStr">
        <is>
          <t>PAGO 3
FECHA</t>
        </is>
      </c>
      <c r="AA3" s="15" t="inlineStr">
        <is>
          <t>P3
ESTATUS</t>
        </is>
      </c>
      <c r="AB3" s="15" t="inlineStr">
        <is>
          <t>PAGO 4
FECHA</t>
        </is>
      </c>
      <c r="AC3" s="15" t="inlineStr">
        <is>
          <t>P4
ESTATUS</t>
        </is>
      </c>
      <c r="AD3" s="15" t="inlineStr">
        <is>
          <t>PAGO 5
FECHA</t>
        </is>
      </c>
      <c r="AE3" s="15" t="inlineStr">
        <is>
          <t>P5
ESTATUS</t>
        </is>
      </c>
      <c r="AF3" s="15" t="inlineStr">
        <is>
          <t>PAGO 6
FECHA</t>
        </is>
      </c>
      <c r="AG3" s="15" t="inlineStr">
        <is>
          <t>P6
ESTATUS</t>
        </is>
      </c>
      <c r="AH3" s="16" t="inlineStr">
        <is>
          <t>TOTAL
COBRADO</t>
        </is>
      </c>
      <c r="AI3" s="16" t="inlineStr">
        <is>
          <t>SALDO
PENDIENTE</t>
        </is>
      </c>
      <c r="AJ3" s="17" t="inlineStr">
        <is>
          <t>FINANCIERA /
BANCO</t>
        </is>
      </c>
      <c r="AK3" s="17" t="inlineStr">
        <is>
          <t>GPS
INSTAL.</t>
        </is>
      </c>
      <c r="AL3" s="17" t="inlineStr">
        <is>
          <t>ESTATUS
DEAL</t>
        </is>
      </c>
      <c r="AM3" s="17" t="inlineStr">
        <is>
          <t>COMISIÓN</t>
        </is>
      </c>
      <c r="AN3" s="17" t="inlineStr">
        <is>
          <t>NOTAS</t>
        </is>
      </c>
    </row>
    <row r="4" ht="20" customHeight="1">
      <c r="A4" s="18">
        <f>IF(C4&lt;&gt;"",ROW()-3,"")</f>
        <v/>
      </c>
      <c r="B4" s="19" t="inlineStr">
        <is>
          <t>01/15/2026</t>
        </is>
      </c>
      <c r="C4" s="20" t="inlineStr">
        <is>
          <t>María García (EJEMPLO)</t>
        </is>
      </c>
      <c r="D4" s="20" t="inlineStr">
        <is>
          <t>(713) 555-0100</t>
        </is>
      </c>
      <c r="E4" s="20" t="inlineStr">
        <is>
          <t>mgarcia@email.com</t>
        </is>
      </c>
      <c r="F4" s="20" t="inlineStr">
        <is>
          <t>Juan López</t>
        </is>
      </c>
      <c r="G4" s="20" t="inlineStr">
        <is>
          <t>REFERIDO</t>
        </is>
      </c>
      <c r="H4" s="20" t="inlineStr">
        <is>
          <t>Toyota</t>
        </is>
      </c>
      <c r="I4" s="20" t="inlineStr">
        <is>
          <t>Camry</t>
        </is>
      </c>
      <c r="J4" s="20" t="n">
        <v>2022</v>
      </c>
      <c r="K4" s="20" t="inlineStr">
        <is>
          <t>Blanco</t>
        </is>
      </c>
      <c r="L4" s="20" t="inlineStr">
        <is>
          <t>1HGBH41JXMN109186</t>
        </is>
      </c>
      <c r="M4" s="21" t="n">
        <v>45000</v>
      </c>
      <c r="N4" s="22" t="n">
        <v>18500</v>
      </c>
      <c r="O4" s="22" t="n">
        <v>2000</v>
      </c>
      <c r="P4" s="22">
        <f>IF(AND(Q4="SÍ",N4&lt;&gt;"",O4&lt;&gt;""),N4-O4,"")</f>
        <v/>
      </c>
      <c r="Q4" s="20" t="inlineStr">
        <is>
          <t>SÍ</t>
        </is>
      </c>
      <c r="R4" s="20" t="n">
        <v>6</v>
      </c>
      <c r="S4" s="19" t="inlineStr">
        <is>
          <t>01/22/2026</t>
        </is>
      </c>
      <c r="T4" s="20">
        <f>IF(S4&lt;&gt;"",CHOOSE(WEEKDAY(S4,2),"Lunes","Martes","Miércoles","Jueves","Viernes","Sábado","Domingo"),"")</f>
        <v/>
      </c>
      <c r="U4" s="22">
        <f>IF(AND(P4&lt;&gt;"",R4&gt;0),ROUND(P4/R4,2),"")</f>
        <v/>
      </c>
      <c r="V4" s="19">
        <f>IF(AND(Q4="SÍ",S4&lt;&gt;""),S4,"")</f>
        <v/>
      </c>
      <c r="W4" s="20" t="inlineStr">
        <is>
          <t>PAGADO</t>
        </is>
      </c>
      <c r="X4" s="19">
        <f>IF(V4&lt;&gt;"",V4+7,"")</f>
        <v/>
      </c>
      <c r="Y4" s="20" t="inlineStr">
        <is>
          <t>PAGADO</t>
        </is>
      </c>
      <c r="Z4" s="19">
        <f>IF(X4&lt;&gt;"",X4+7,"")</f>
        <v/>
      </c>
      <c r="AA4" s="20" t="inlineStr">
        <is>
          <t>PENDIENTE</t>
        </is>
      </c>
      <c r="AB4" s="19">
        <f>IF(Z4&lt;&gt;"",Z4+7,"")</f>
        <v/>
      </c>
      <c r="AC4" s="20" t="n"/>
      <c r="AD4" s="19">
        <f>IF(AB4&lt;&gt;"",AB4+7,"")</f>
        <v/>
      </c>
      <c r="AE4" s="20" t="n"/>
      <c r="AF4" s="19">
        <f>IF(AD4&lt;&gt;"",AD4+7,"")</f>
        <v/>
      </c>
      <c r="AG4" s="20" t="n"/>
      <c r="AH4" s="22">
        <f>IF(U4&lt;&gt;"",(COUNTIF(W4,"PAGADO")+COUNTIF(Y4,"PAGADO")+COUNTIF(AA4,"PAGADO")+COUNTIF(AC4,"PAGADO")+COUNTIF(AE4,"PAGADO")+COUNTIF(AG4,"PAGADO"))*U4,"")</f>
        <v/>
      </c>
      <c r="AI4" s="22">
        <f>IF(AND(P4&lt;&gt;"",AH4&lt;&gt;""),P4-AH4,IF(P4&lt;&gt;"",P4,""))</f>
        <v/>
      </c>
      <c r="AJ4" s="20" t="inlineStr">
        <is>
          <t>Westlake Financial</t>
        </is>
      </c>
      <c r="AK4" s="20" t="inlineStr">
        <is>
          <t>SÍ</t>
        </is>
      </c>
      <c r="AL4" s="20" t="inlineStr">
        <is>
          <t>ACTIVO</t>
        </is>
      </c>
      <c r="AM4" s="22" t="n">
        <v>750</v>
      </c>
      <c r="AN4" s="23" t="inlineStr">
        <is>
          <t>Cliente de referido de Juan López. Trade-in: Honda Civic 2018.</t>
        </is>
      </c>
    </row>
    <row r="5" ht="20" customHeight="1">
      <c r="A5" s="24">
        <f>IF(C5&lt;&gt;"",ROW()-3,"")</f>
        <v/>
      </c>
      <c r="B5" s="25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7" t="n"/>
      <c r="N5" s="28" t="n"/>
      <c r="O5" s="28" t="n"/>
      <c r="P5" s="28">
        <f>IF(AND(Q5="SÍ",N5&lt;&gt;"",O5&lt;&gt;""),N5-O5,"")</f>
        <v/>
      </c>
      <c r="Q5" s="26" t="n"/>
      <c r="R5" s="26" t="n"/>
      <c r="S5" s="26" t="n"/>
      <c r="T5" s="26">
        <f>IF(S5&lt;&gt;"",CHOOSE(WEEKDAY(S5,2),"Lunes","Martes","Miércoles","Jueves","Viernes","Sábado","Domingo"),"")</f>
        <v/>
      </c>
      <c r="U5" s="28">
        <f>IF(AND(P5&lt;&gt;"",R5&gt;0),ROUND(P5/R5,2),"")</f>
        <v/>
      </c>
      <c r="V5" s="25">
        <f>IF(AND(Q5="SÍ",S5&lt;&gt;""),S5,"")</f>
        <v/>
      </c>
      <c r="W5" s="26" t="n"/>
      <c r="X5" s="25">
        <f>IF(V5&lt;&gt;"",V5+7,"")</f>
        <v/>
      </c>
      <c r="Y5" s="26" t="n"/>
      <c r="Z5" s="25">
        <f>IF(X5&lt;&gt;"",X5+7,"")</f>
        <v/>
      </c>
      <c r="AA5" s="26" t="n"/>
      <c r="AB5" s="25">
        <f>IF(Z5&lt;&gt;"",Z5+7,"")</f>
        <v/>
      </c>
      <c r="AC5" s="26" t="n"/>
      <c r="AD5" s="25">
        <f>IF(AB5&lt;&gt;"",AB5+7,"")</f>
        <v/>
      </c>
      <c r="AE5" s="26" t="n"/>
      <c r="AF5" s="25">
        <f>IF(AD5&lt;&gt;"",AD5+7,"")</f>
        <v/>
      </c>
      <c r="AG5" s="26" t="n"/>
      <c r="AH5" s="28">
        <f>IF(U5&lt;&gt;"",(COUNTIF(W5,"PAGADO")+COUNTIF(Y5,"PAGADO")+COUNTIF(AA5,"PAGADO")+COUNTIF(AC5,"PAGADO")+COUNTIF(AE5,"PAGADO")+COUNTIF(AG5,"PAGADO"))*U5,"")</f>
        <v/>
      </c>
      <c r="AI5" s="28">
        <f>IF(AND(P5&lt;&gt;"",AH5&lt;&gt;""),P5-AH5,IF(P5&lt;&gt;"",P5,""))</f>
        <v/>
      </c>
      <c r="AJ5" s="26" t="n"/>
      <c r="AK5" s="26" t="n"/>
      <c r="AL5" s="26" t="n"/>
      <c r="AM5" s="28" t="n"/>
      <c r="AN5" s="29" t="n"/>
    </row>
    <row r="6" ht="20" customHeight="1">
      <c r="A6" s="30">
        <f>IF(C6&lt;&gt;"",ROW()-3,"")</f>
        <v/>
      </c>
      <c r="B6" s="31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3" t="n"/>
      <c r="N6" s="34" t="n"/>
      <c r="O6" s="34" t="n"/>
      <c r="P6" s="34">
        <f>IF(AND(Q6="SÍ",N6&lt;&gt;"",O6&lt;&gt;""),N6-O6,"")</f>
        <v/>
      </c>
      <c r="Q6" s="32" t="n"/>
      <c r="R6" s="32" t="n"/>
      <c r="S6" s="32" t="n"/>
      <c r="T6" s="32">
        <f>IF(S6&lt;&gt;"",CHOOSE(WEEKDAY(S6,2),"Lunes","Martes","Miércoles","Jueves","Viernes","Sábado","Domingo"),"")</f>
        <v/>
      </c>
      <c r="U6" s="34">
        <f>IF(AND(P6&lt;&gt;"",R6&gt;0),ROUND(P6/R6,2),"")</f>
        <v/>
      </c>
      <c r="V6" s="31">
        <f>IF(AND(Q6="SÍ",S6&lt;&gt;""),S6,"")</f>
        <v/>
      </c>
      <c r="W6" s="32" t="n"/>
      <c r="X6" s="31">
        <f>IF(V6&lt;&gt;"",V6+7,"")</f>
        <v/>
      </c>
      <c r="Y6" s="32" t="n"/>
      <c r="Z6" s="31">
        <f>IF(X6&lt;&gt;"",X6+7,"")</f>
        <v/>
      </c>
      <c r="AA6" s="32" t="n"/>
      <c r="AB6" s="31">
        <f>IF(Z6&lt;&gt;"",Z6+7,"")</f>
        <v/>
      </c>
      <c r="AC6" s="32" t="n"/>
      <c r="AD6" s="31">
        <f>IF(AB6&lt;&gt;"",AB6+7,"")</f>
        <v/>
      </c>
      <c r="AE6" s="32" t="n"/>
      <c r="AF6" s="31">
        <f>IF(AD6&lt;&gt;"",AD6+7,"")</f>
        <v/>
      </c>
      <c r="AG6" s="32" t="n"/>
      <c r="AH6" s="34">
        <f>IF(U6&lt;&gt;"",(COUNTIF(W6,"PAGADO")+COUNTIF(Y6,"PAGADO")+COUNTIF(AA6,"PAGADO")+COUNTIF(AC6,"PAGADO")+COUNTIF(AE6,"PAGADO")+COUNTIF(AG6,"PAGADO"))*U6,"")</f>
        <v/>
      </c>
      <c r="AI6" s="34">
        <f>IF(AND(P6&lt;&gt;"",AH6&lt;&gt;""),P6-AH6,IF(P6&lt;&gt;"",P6,""))</f>
        <v/>
      </c>
      <c r="AJ6" s="32" t="n"/>
      <c r="AK6" s="32" t="n"/>
      <c r="AL6" s="32" t="n"/>
      <c r="AM6" s="34" t="n"/>
      <c r="AN6" s="35" t="n"/>
    </row>
    <row r="7" ht="20" customHeight="1">
      <c r="A7" s="24">
        <f>IF(C7&lt;&gt;"",ROW()-3,"")</f>
        <v/>
      </c>
      <c r="B7" s="25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7" t="n"/>
      <c r="N7" s="28" t="n"/>
      <c r="O7" s="28" t="n"/>
      <c r="P7" s="28">
        <f>IF(AND(Q7="SÍ",N7&lt;&gt;"",O7&lt;&gt;""),N7-O7,"")</f>
        <v/>
      </c>
      <c r="Q7" s="26" t="n"/>
      <c r="R7" s="26" t="n"/>
      <c r="S7" s="26" t="n"/>
      <c r="T7" s="26">
        <f>IF(S7&lt;&gt;"",CHOOSE(WEEKDAY(S7,2),"Lunes","Martes","Miércoles","Jueves","Viernes","Sábado","Domingo"),"")</f>
        <v/>
      </c>
      <c r="U7" s="28">
        <f>IF(AND(P7&lt;&gt;"",R7&gt;0),ROUND(P7/R7,2),"")</f>
        <v/>
      </c>
      <c r="V7" s="25">
        <f>IF(AND(Q7="SÍ",S7&lt;&gt;""),S7,"")</f>
        <v/>
      </c>
      <c r="W7" s="26" t="n"/>
      <c r="X7" s="25">
        <f>IF(V7&lt;&gt;"",V7+7,"")</f>
        <v/>
      </c>
      <c r="Y7" s="26" t="n"/>
      <c r="Z7" s="25">
        <f>IF(X7&lt;&gt;"",X7+7,"")</f>
        <v/>
      </c>
      <c r="AA7" s="26" t="n"/>
      <c r="AB7" s="25">
        <f>IF(Z7&lt;&gt;"",Z7+7,"")</f>
        <v/>
      </c>
      <c r="AC7" s="26" t="n"/>
      <c r="AD7" s="25">
        <f>IF(AB7&lt;&gt;"",AB7+7,"")</f>
        <v/>
      </c>
      <c r="AE7" s="26" t="n"/>
      <c r="AF7" s="25">
        <f>IF(AD7&lt;&gt;"",AD7+7,"")</f>
        <v/>
      </c>
      <c r="AG7" s="26" t="n"/>
      <c r="AH7" s="28">
        <f>IF(U7&lt;&gt;"",(COUNTIF(W7,"PAGADO")+COUNTIF(Y7,"PAGADO")+COUNTIF(AA7,"PAGADO")+COUNTIF(AC7,"PAGADO")+COUNTIF(AE7,"PAGADO")+COUNTIF(AG7,"PAGADO"))*U7,"")</f>
        <v/>
      </c>
      <c r="AI7" s="28">
        <f>IF(AND(P7&lt;&gt;"",AH7&lt;&gt;""),P7-AH7,IF(P7&lt;&gt;"",P7,""))</f>
        <v/>
      </c>
      <c r="AJ7" s="26" t="n"/>
      <c r="AK7" s="26" t="n"/>
      <c r="AL7" s="26" t="n"/>
      <c r="AM7" s="28" t="n"/>
      <c r="AN7" s="29" t="n"/>
    </row>
    <row r="8" ht="20" customHeight="1">
      <c r="A8" s="30">
        <f>IF(C8&lt;&gt;"",ROW()-3,"")</f>
        <v/>
      </c>
      <c r="B8" s="31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3" t="n"/>
      <c r="N8" s="34" t="n"/>
      <c r="O8" s="34" t="n"/>
      <c r="P8" s="34">
        <f>IF(AND(Q8="SÍ",N8&lt;&gt;"",O8&lt;&gt;""),N8-O8,"")</f>
        <v/>
      </c>
      <c r="Q8" s="32" t="n"/>
      <c r="R8" s="32" t="n"/>
      <c r="S8" s="32" t="n"/>
      <c r="T8" s="32">
        <f>IF(S8&lt;&gt;"",CHOOSE(WEEKDAY(S8,2),"Lunes","Martes","Miércoles","Jueves","Viernes","Sábado","Domingo"),"")</f>
        <v/>
      </c>
      <c r="U8" s="34">
        <f>IF(AND(P8&lt;&gt;"",R8&gt;0),ROUND(P8/R8,2),"")</f>
        <v/>
      </c>
      <c r="V8" s="31">
        <f>IF(AND(Q8="SÍ",S8&lt;&gt;""),S8,"")</f>
        <v/>
      </c>
      <c r="W8" s="32" t="n"/>
      <c r="X8" s="31">
        <f>IF(V8&lt;&gt;"",V8+7,"")</f>
        <v/>
      </c>
      <c r="Y8" s="32" t="n"/>
      <c r="Z8" s="31">
        <f>IF(X8&lt;&gt;"",X8+7,"")</f>
        <v/>
      </c>
      <c r="AA8" s="32" t="n"/>
      <c r="AB8" s="31">
        <f>IF(Z8&lt;&gt;"",Z8+7,"")</f>
        <v/>
      </c>
      <c r="AC8" s="32" t="n"/>
      <c r="AD8" s="31">
        <f>IF(AB8&lt;&gt;"",AB8+7,"")</f>
        <v/>
      </c>
      <c r="AE8" s="32" t="n"/>
      <c r="AF8" s="31">
        <f>IF(AD8&lt;&gt;"",AD8+7,"")</f>
        <v/>
      </c>
      <c r="AG8" s="32" t="n"/>
      <c r="AH8" s="34">
        <f>IF(U8&lt;&gt;"",(COUNTIF(W8,"PAGADO")+COUNTIF(Y8,"PAGADO")+COUNTIF(AA8,"PAGADO")+COUNTIF(AC8,"PAGADO")+COUNTIF(AE8,"PAGADO")+COUNTIF(AG8,"PAGADO"))*U8,"")</f>
        <v/>
      </c>
      <c r="AI8" s="34">
        <f>IF(AND(P8&lt;&gt;"",AH8&lt;&gt;""),P8-AH8,IF(P8&lt;&gt;"",P8,""))</f>
        <v/>
      </c>
      <c r="AJ8" s="32" t="n"/>
      <c r="AK8" s="32" t="n"/>
      <c r="AL8" s="32" t="n"/>
      <c r="AM8" s="34" t="n"/>
      <c r="AN8" s="35" t="n"/>
    </row>
    <row r="9" ht="20" customHeight="1">
      <c r="A9" s="24">
        <f>IF(C9&lt;&gt;"",ROW()-3,"")</f>
        <v/>
      </c>
      <c r="B9" s="25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7" t="n"/>
      <c r="N9" s="28" t="n"/>
      <c r="O9" s="28" t="n"/>
      <c r="P9" s="28">
        <f>IF(AND(Q9="SÍ",N9&lt;&gt;"",O9&lt;&gt;""),N9-O9,"")</f>
        <v/>
      </c>
      <c r="Q9" s="26" t="n"/>
      <c r="R9" s="26" t="n"/>
      <c r="S9" s="26" t="n"/>
      <c r="T9" s="26">
        <f>IF(S9&lt;&gt;"",CHOOSE(WEEKDAY(S9,2),"Lunes","Martes","Miércoles","Jueves","Viernes","Sábado","Domingo"),"")</f>
        <v/>
      </c>
      <c r="U9" s="28">
        <f>IF(AND(P9&lt;&gt;"",R9&gt;0),ROUND(P9/R9,2),"")</f>
        <v/>
      </c>
      <c r="V9" s="25">
        <f>IF(AND(Q9="SÍ",S9&lt;&gt;""),S9,"")</f>
        <v/>
      </c>
      <c r="W9" s="26" t="n"/>
      <c r="X9" s="25">
        <f>IF(V9&lt;&gt;"",V9+7,"")</f>
        <v/>
      </c>
      <c r="Y9" s="26" t="n"/>
      <c r="Z9" s="25">
        <f>IF(X9&lt;&gt;"",X9+7,"")</f>
        <v/>
      </c>
      <c r="AA9" s="26" t="n"/>
      <c r="AB9" s="25">
        <f>IF(Z9&lt;&gt;"",Z9+7,"")</f>
        <v/>
      </c>
      <c r="AC9" s="26" t="n"/>
      <c r="AD9" s="25">
        <f>IF(AB9&lt;&gt;"",AB9+7,"")</f>
        <v/>
      </c>
      <c r="AE9" s="26" t="n"/>
      <c r="AF9" s="25">
        <f>IF(AD9&lt;&gt;"",AD9+7,"")</f>
        <v/>
      </c>
      <c r="AG9" s="26" t="n"/>
      <c r="AH9" s="28">
        <f>IF(U9&lt;&gt;"",(COUNTIF(W9,"PAGADO")+COUNTIF(Y9,"PAGADO")+COUNTIF(AA9,"PAGADO")+COUNTIF(AC9,"PAGADO")+COUNTIF(AE9,"PAGADO")+COUNTIF(AG9,"PAGADO"))*U9,"")</f>
        <v/>
      </c>
      <c r="AI9" s="28">
        <f>IF(AND(P9&lt;&gt;"",AH9&lt;&gt;""),P9-AH9,IF(P9&lt;&gt;"",P9,""))</f>
        <v/>
      </c>
      <c r="AJ9" s="26" t="n"/>
      <c r="AK9" s="26" t="n"/>
      <c r="AL9" s="26" t="n"/>
      <c r="AM9" s="28" t="n"/>
      <c r="AN9" s="29" t="n"/>
    </row>
    <row r="10" ht="20" customHeight="1">
      <c r="A10" s="30">
        <f>IF(C10&lt;&gt;"",ROW()-3,"")</f>
        <v/>
      </c>
      <c r="B10" s="31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 t="n"/>
      <c r="N10" s="34" t="n"/>
      <c r="O10" s="34" t="n"/>
      <c r="P10" s="34">
        <f>IF(AND(Q10="SÍ",N10&lt;&gt;"",O10&lt;&gt;""),N10-O10,"")</f>
        <v/>
      </c>
      <c r="Q10" s="32" t="n"/>
      <c r="R10" s="32" t="n"/>
      <c r="S10" s="32" t="n"/>
      <c r="T10" s="32">
        <f>IF(S10&lt;&gt;"",CHOOSE(WEEKDAY(S10,2),"Lunes","Martes","Miércoles","Jueves","Viernes","Sábado","Domingo"),"")</f>
        <v/>
      </c>
      <c r="U10" s="34">
        <f>IF(AND(P10&lt;&gt;"",R10&gt;0),ROUND(P10/R10,2),"")</f>
        <v/>
      </c>
      <c r="V10" s="31">
        <f>IF(AND(Q10="SÍ",S10&lt;&gt;""),S10,"")</f>
        <v/>
      </c>
      <c r="W10" s="32" t="n"/>
      <c r="X10" s="31">
        <f>IF(V10&lt;&gt;"",V10+7,"")</f>
        <v/>
      </c>
      <c r="Y10" s="32" t="n"/>
      <c r="Z10" s="31">
        <f>IF(X10&lt;&gt;"",X10+7,"")</f>
        <v/>
      </c>
      <c r="AA10" s="32" t="n"/>
      <c r="AB10" s="31">
        <f>IF(Z10&lt;&gt;"",Z10+7,"")</f>
        <v/>
      </c>
      <c r="AC10" s="32" t="n"/>
      <c r="AD10" s="31">
        <f>IF(AB10&lt;&gt;"",AB10+7,"")</f>
        <v/>
      </c>
      <c r="AE10" s="32" t="n"/>
      <c r="AF10" s="31">
        <f>IF(AD10&lt;&gt;"",AD10+7,"")</f>
        <v/>
      </c>
      <c r="AG10" s="32" t="n"/>
      <c r="AH10" s="34">
        <f>IF(U10&lt;&gt;"",(COUNTIF(W10,"PAGADO")+COUNTIF(Y10,"PAGADO")+COUNTIF(AA10,"PAGADO")+COUNTIF(AC10,"PAGADO")+COUNTIF(AE10,"PAGADO")+COUNTIF(AG10,"PAGADO"))*U10,"")</f>
        <v/>
      </c>
      <c r="AI10" s="34">
        <f>IF(AND(P10&lt;&gt;"",AH10&lt;&gt;""),P10-AH10,IF(P10&lt;&gt;"",P10,""))</f>
        <v/>
      </c>
      <c r="AJ10" s="32" t="n"/>
      <c r="AK10" s="32" t="n"/>
      <c r="AL10" s="32" t="n"/>
      <c r="AM10" s="34" t="n"/>
      <c r="AN10" s="35" t="n"/>
    </row>
    <row r="11" ht="20" customHeight="1">
      <c r="A11" s="24">
        <f>IF(C11&lt;&gt;"",ROW()-3,"")</f>
        <v/>
      </c>
      <c r="B11" s="25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7" t="n"/>
      <c r="N11" s="28" t="n"/>
      <c r="O11" s="28" t="n"/>
      <c r="P11" s="28">
        <f>IF(AND(Q11="SÍ",N11&lt;&gt;"",O11&lt;&gt;""),N11-O11,"")</f>
        <v/>
      </c>
      <c r="Q11" s="26" t="n"/>
      <c r="R11" s="26" t="n"/>
      <c r="S11" s="26" t="n"/>
      <c r="T11" s="26">
        <f>IF(S11&lt;&gt;"",CHOOSE(WEEKDAY(S11,2),"Lunes","Martes","Miércoles","Jueves","Viernes","Sábado","Domingo"),"")</f>
        <v/>
      </c>
      <c r="U11" s="28">
        <f>IF(AND(P11&lt;&gt;"",R11&gt;0),ROUND(P11/R11,2),"")</f>
        <v/>
      </c>
      <c r="V11" s="25">
        <f>IF(AND(Q11="SÍ",S11&lt;&gt;""),S11,"")</f>
        <v/>
      </c>
      <c r="W11" s="26" t="n"/>
      <c r="X11" s="25">
        <f>IF(V11&lt;&gt;"",V11+7,"")</f>
        <v/>
      </c>
      <c r="Y11" s="26" t="n"/>
      <c r="Z11" s="25">
        <f>IF(X11&lt;&gt;"",X11+7,"")</f>
        <v/>
      </c>
      <c r="AA11" s="26" t="n"/>
      <c r="AB11" s="25">
        <f>IF(Z11&lt;&gt;"",Z11+7,"")</f>
        <v/>
      </c>
      <c r="AC11" s="26" t="n"/>
      <c r="AD11" s="25">
        <f>IF(AB11&lt;&gt;"",AB11+7,"")</f>
        <v/>
      </c>
      <c r="AE11" s="26" t="n"/>
      <c r="AF11" s="25">
        <f>IF(AD11&lt;&gt;"",AD11+7,"")</f>
        <v/>
      </c>
      <c r="AG11" s="26" t="n"/>
      <c r="AH11" s="28">
        <f>IF(U11&lt;&gt;"",(COUNTIF(W11,"PAGADO")+COUNTIF(Y11,"PAGADO")+COUNTIF(AA11,"PAGADO")+COUNTIF(AC11,"PAGADO")+COUNTIF(AE11,"PAGADO")+COUNTIF(AG11,"PAGADO"))*U11,"")</f>
        <v/>
      </c>
      <c r="AI11" s="28">
        <f>IF(AND(P11&lt;&gt;"",AH11&lt;&gt;""),P11-AH11,IF(P11&lt;&gt;"",P11,""))</f>
        <v/>
      </c>
      <c r="AJ11" s="26" t="n"/>
      <c r="AK11" s="26" t="n"/>
      <c r="AL11" s="26" t="n"/>
      <c r="AM11" s="28" t="n"/>
      <c r="AN11" s="29" t="n"/>
    </row>
    <row r="12" ht="20" customHeight="1">
      <c r="A12" s="30">
        <f>IF(C12&lt;&gt;"",ROW()-3,"")</f>
        <v/>
      </c>
      <c r="B12" s="31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3" t="n"/>
      <c r="N12" s="34" t="n"/>
      <c r="O12" s="34" t="n"/>
      <c r="P12" s="34">
        <f>IF(AND(Q12="SÍ",N12&lt;&gt;"",O12&lt;&gt;""),N12-O12,"")</f>
        <v/>
      </c>
      <c r="Q12" s="32" t="n"/>
      <c r="R12" s="32" t="n"/>
      <c r="S12" s="32" t="n"/>
      <c r="T12" s="32">
        <f>IF(S12&lt;&gt;"",CHOOSE(WEEKDAY(S12,2),"Lunes","Martes","Miércoles","Jueves","Viernes","Sábado","Domingo"),"")</f>
        <v/>
      </c>
      <c r="U12" s="34">
        <f>IF(AND(P12&lt;&gt;"",R12&gt;0),ROUND(P12/R12,2),"")</f>
        <v/>
      </c>
      <c r="V12" s="31">
        <f>IF(AND(Q12="SÍ",S12&lt;&gt;""),S12,"")</f>
        <v/>
      </c>
      <c r="W12" s="32" t="n"/>
      <c r="X12" s="31">
        <f>IF(V12&lt;&gt;"",V12+7,"")</f>
        <v/>
      </c>
      <c r="Y12" s="32" t="n"/>
      <c r="Z12" s="31">
        <f>IF(X12&lt;&gt;"",X12+7,"")</f>
        <v/>
      </c>
      <c r="AA12" s="32" t="n"/>
      <c r="AB12" s="31">
        <f>IF(Z12&lt;&gt;"",Z12+7,"")</f>
        <v/>
      </c>
      <c r="AC12" s="32" t="n"/>
      <c r="AD12" s="31">
        <f>IF(AB12&lt;&gt;"",AB12+7,"")</f>
        <v/>
      </c>
      <c r="AE12" s="32" t="n"/>
      <c r="AF12" s="31">
        <f>IF(AD12&lt;&gt;"",AD12+7,"")</f>
        <v/>
      </c>
      <c r="AG12" s="32" t="n"/>
      <c r="AH12" s="34">
        <f>IF(U12&lt;&gt;"",(COUNTIF(W12,"PAGADO")+COUNTIF(Y12,"PAGADO")+COUNTIF(AA12,"PAGADO")+COUNTIF(AC12,"PAGADO")+COUNTIF(AE12,"PAGADO")+COUNTIF(AG12,"PAGADO"))*U12,"")</f>
        <v/>
      </c>
      <c r="AI12" s="34">
        <f>IF(AND(P12&lt;&gt;"",AH12&lt;&gt;""),P12-AH12,IF(P12&lt;&gt;"",P12,""))</f>
        <v/>
      </c>
      <c r="AJ12" s="32" t="n"/>
      <c r="AK12" s="32" t="n"/>
      <c r="AL12" s="32" t="n"/>
      <c r="AM12" s="34" t="n"/>
      <c r="AN12" s="35" t="n"/>
    </row>
    <row r="13" ht="20" customHeight="1">
      <c r="A13" s="24">
        <f>IF(C13&lt;&gt;"",ROW()-3,"")</f>
        <v/>
      </c>
      <c r="B13" s="25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7" t="n"/>
      <c r="N13" s="28" t="n"/>
      <c r="O13" s="28" t="n"/>
      <c r="P13" s="28">
        <f>IF(AND(Q13="SÍ",N13&lt;&gt;"",O13&lt;&gt;""),N13-O13,"")</f>
        <v/>
      </c>
      <c r="Q13" s="26" t="n"/>
      <c r="R13" s="26" t="n"/>
      <c r="S13" s="26" t="n"/>
      <c r="T13" s="26">
        <f>IF(S13&lt;&gt;"",CHOOSE(WEEKDAY(S13,2),"Lunes","Martes","Miércoles","Jueves","Viernes","Sábado","Domingo"),"")</f>
        <v/>
      </c>
      <c r="U13" s="28">
        <f>IF(AND(P13&lt;&gt;"",R13&gt;0),ROUND(P13/R13,2),"")</f>
        <v/>
      </c>
      <c r="V13" s="25">
        <f>IF(AND(Q13="SÍ",S13&lt;&gt;""),S13,"")</f>
        <v/>
      </c>
      <c r="W13" s="26" t="n"/>
      <c r="X13" s="25">
        <f>IF(V13&lt;&gt;"",V13+7,"")</f>
        <v/>
      </c>
      <c r="Y13" s="26" t="n"/>
      <c r="Z13" s="25">
        <f>IF(X13&lt;&gt;"",X13+7,"")</f>
        <v/>
      </c>
      <c r="AA13" s="26" t="n"/>
      <c r="AB13" s="25">
        <f>IF(Z13&lt;&gt;"",Z13+7,"")</f>
        <v/>
      </c>
      <c r="AC13" s="26" t="n"/>
      <c r="AD13" s="25">
        <f>IF(AB13&lt;&gt;"",AB13+7,"")</f>
        <v/>
      </c>
      <c r="AE13" s="26" t="n"/>
      <c r="AF13" s="25">
        <f>IF(AD13&lt;&gt;"",AD13+7,"")</f>
        <v/>
      </c>
      <c r="AG13" s="26" t="n"/>
      <c r="AH13" s="28">
        <f>IF(U13&lt;&gt;"",(COUNTIF(W13,"PAGADO")+COUNTIF(Y13,"PAGADO")+COUNTIF(AA13,"PAGADO")+COUNTIF(AC13,"PAGADO")+COUNTIF(AE13,"PAGADO")+COUNTIF(AG13,"PAGADO"))*U13,"")</f>
        <v/>
      </c>
      <c r="AI13" s="28">
        <f>IF(AND(P13&lt;&gt;"",AH13&lt;&gt;""),P13-AH13,IF(P13&lt;&gt;"",P13,""))</f>
        <v/>
      </c>
      <c r="AJ13" s="26" t="n"/>
      <c r="AK13" s="26" t="n"/>
      <c r="AL13" s="26" t="n"/>
      <c r="AM13" s="28" t="n"/>
      <c r="AN13" s="29" t="n"/>
    </row>
    <row r="14" ht="20" customHeight="1">
      <c r="A14" s="30">
        <f>IF(C14&lt;&gt;"",ROW()-3,"")</f>
        <v/>
      </c>
      <c r="B14" s="31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3" t="n"/>
      <c r="N14" s="34" t="n"/>
      <c r="O14" s="34" t="n"/>
      <c r="P14" s="34">
        <f>IF(AND(Q14="SÍ",N14&lt;&gt;"",O14&lt;&gt;""),N14-O14,"")</f>
        <v/>
      </c>
      <c r="Q14" s="32" t="n"/>
      <c r="R14" s="32" t="n"/>
      <c r="S14" s="32" t="n"/>
      <c r="T14" s="32">
        <f>IF(S14&lt;&gt;"",CHOOSE(WEEKDAY(S14,2),"Lunes","Martes","Miércoles","Jueves","Viernes","Sábado","Domingo"),"")</f>
        <v/>
      </c>
      <c r="U14" s="34">
        <f>IF(AND(P14&lt;&gt;"",R14&gt;0),ROUND(P14/R14,2),"")</f>
        <v/>
      </c>
      <c r="V14" s="31">
        <f>IF(AND(Q14="SÍ",S14&lt;&gt;""),S14,"")</f>
        <v/>
      </c>
      <c r="W14" s="32" t="n"/>
      <c r="X14" s="31">
        <f>IF(V14&lt;&gt;"",V14+7,"")</f>
        <v/>
      </c>
      <c r="Y14" s="32" t="n"/>
      <c r="Z14" s="31">
        <f>IF(X14&lt;&gt;"",X14+7,"")</f>
        <v/>
      </c>
      <c r="AA14" s="32" t="n"/>
      <c r="AB14" s="31">
        <f>IF(Z14&lt;&gt;"",Z14+7,"")</f>
        <v/>
      </c>
      <c r="AC14" s="32" t="n"/>
      <c r="AD14" s="31">
        <f>IF(AB14&lt;&gt;"",AB14+7,"")</f>
        <v/>
      </c>
      <c r="AE14" s="32" t="n"/>
      <c r="AF14" s="31">
        <f>IF(AD14&lt;&gt;"",AD14+7,"")</f>
        <v/>
      </c>
      <c r="AG14" s="32" t="n"/>
      <c r="AH14" s="34">
        <f>IF(U14&lt;&gt;"",(COUNTIF(W14,"PAGADO")+COUNTIF(Y14,"PAGADO")+COUNTIF(AA14,"PAGADO")+COUNTIF(AC14,"PAGADO")+COUNTIF(AE14,"PAGADO")+COUNTIF(AG14,"PAGADO"))*U14,"")</f>
        <v/>
      </c>
      <c r="AI14" s="34">
        <f>IF(AND(P14&lt;&gt;"",AH14&lt;&gt;""),P14-AH14,IF(P14&lt;&gt;"",P14,""))</f>
        <v/>
      </c>
      <c r="AJ14" s="32" t="n"/>
      <c r="AK14" s="32" t="n"/>
      <c r="AL14" s="32" t="n"/>
      <c r="AM14" s="34" t="n"/>
      <c r="AN14" s="35" t="n"/>
    </row>
    <row r="15" ht="20" customHeight="1">
      <c r="A15" s="24">
        <f>IF(C15&lt;&gt;"",ROW()-3,"")</f>
        <v/>
      </c>
      <c r="B15" s="25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7" t="n"/>
      <c r="N15" s="28" t="n"/>
      <c r="O15" s="28" t="n"/>
      <c r="P15" s="28">
        <f>IF(AND(Q15="SÍ",N15&lt;&gt;"",O15&lt;&gt;""),N15-O15,"")</f>
        <v/>
      </c>
      <c r="Q15" s="26" t="n"/>
      <c r="R15" s="26" t="n"/>
      <c r="S15" s="26" t="n"/>
      <c r="T15" s="26">
        <f>IF(S15&lt;&gt;"",CHOOSE(WEEKDAY(S15,2),"Lunes","Martes","Miércoles","Jueves","Viernes","Sábado","Domingo"),"")</f>
        <v/>
      </c>
      <c r="U15" s="28">
        <f>IF(AND(P15&lt;&gt;"",R15&gt;0),ROUND(P15/R15,2),"")</f>
        <v/>
      </c>
      <c r="V15" s="25">
        <f>IF(AND(Q15="SÍ",S15&lt;&gt;""),S15,"")</f>
        <v/>
      </c>
      <c r="W15" s="26" t="n"/>
      <c r="X15" s="25">
        <f>IF(V15&lt;&gt;"",V15+7,"")</f>
        <v/>
      </c>
      <c r="Y15" s="26" t="n"/>
      <c r="Z15" s="25">
        <f>IF(X15&lt;&gt;"",X15+7,"")</f>
        <v/>
      </c>
      <c r="AA15" s="26" t="n"/>
      <c r="AB15" s="25">
        <f>IF(Z15&lt;&gt;"",Z15+7,"")</f>
        <v/>
      </c>
      <c r="AC15" s="26" t="n"/>
      <c r="AD15" s="25">
        <f>IF(AB15&lt;&gt;"",AB15+7,"")</f>
        <v/>
      </c>
      <c r="AE15" s="26" t="n"/>
      <c r="AF15" s="25">
        <f>IF(AD15&lt;&gt;"",AD15+7,"")</f>
        <v/>
      </c>
      <c r="AG15" s="26" t="n"/>
      <c r="AH15" s="28">
        <f>IF(U15&lt;&gt;"",(COUNTIF(W15,"PAGADO")+COUNTIF(Y15,"PAGADO")+COUNTIF(AA15,"PAGADO")+COUNTIF(AC15,"PAGADO")+COUNTIF(AE15,"PAGADO")+COUNTIF(AG15,"PAGADO"))*U15,"")</f>
        <v/>
      </c>
      <c r="AI15" s="28">
        <f>IF(AND(P15&lt;&gt;"",AH15&lt;&gt;""),P15-AH15,IF(P15&lt;&gt;"",P15,""))</f>
        <v/>
      </c>
      <c r="AJ15" s="26" t="n"/>
      <c r="AK15" s="26" t="n"/>
      <c r="AL15" s="26" t="n"/>
      <c r="AM15" s="28" t="n"/>
      <c r="AN15" s="29" t="n"/>
    </row>
    <row r="16" ht="20" customHeight="1">
      <c r="A16" s="30">
        <f>IF(C16&lt;&gt;"",ROW()-3,"")</f>
        <v/>
      </c>
      <c r="B16" s="31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3" t="n"/>
      <c r="N16" s="34" t="n"/>
      <c r="O16" s="34" t="n"/>
      <c r="P16" s="34">
        <f>IF(AND(Q16="SÍ",N16&lt;&gt;"",O16&lt;&gt;""),N16-O16,"")</f>
        <v/>
      </c>
      <c r="Q16" s="32" t="n"/>
      <c r="R16" s="32" t="n"/>
      <c r="S16" s="32" t="n"/>
      <c r="T16" s="32">
        <f>IF(S16&lt;&gt;"",CHOOSE(WEEKDAY(S16,2),"Lunes","Martes","Miércoles","Jueves","Viernes","Sábado","Domingo"),"")</f>
        <v/>
      </c>
      <c r="U16" s="34">
        <f>IF(AND(P16&lt;&gt;"",R16&gt;0),ROUND(P16/R16,2),"")</f>
        <v/>
      </c>
      <c r="V16" s="31">
        <f>IF(AND(Q16="SÍ",S16&lt;&gt;""),S16,"")</f>
        <v/>
      </c>
      <c r="W16" s="32" t="n"/>
      <c r="X16" s="31">
        <f>IF(V16&lt;&gt;"",V16+7,"")</f>
        <v/>
      </c>
      <c r="Y16" s="32" t="n"/>
      <c r="Z16" s="31">
        <f>IF(X16&lt;&gt;"",X16+7,"")</f>
        <v/>
      </c>
      <c r="AA16" s="32" t="n"/>
      <c r="AB16" s="31">
        <f>IF(Z16&lt;&gt;"",Z16+7,"")</f>
        <v/>
      </c>
      <c r="AC16" s="32" t="n"/>
      <c r="AD16" s="31">
        <f>IF(AB16&lt;&gt;"",AB16+7,"")</f>
        <v/>
      </c>
      <c r="AE16" s="32" t="n"/>
      <c r="AF16" s="31">
        <f>IF(AD16&lt;&gt;"",AD16+7,"")</f>
        <v/>
      </c>
      <c r="AG16" s="32" t="n"/>
      <c r="AH16" s="34">
        <f>IF(U16&lt;&gt;"",(COUNTIF(W16,"PAGADO")+COUNTIF(Y16,"PAGADO")+COUNTIF(AA16,"PAGADO")+COUNTIF(AC16,"PAGADO")+COUNTIF(AE16,"PAGADO")+COUNTIF(AG16,"PAGADO"))*U16,"")</f>
        <v/>
      </c>
      <c r="AI16" s="34">
        <f>IF(AND(P16&lt;&gt;"",AH16&lt;&gt;""),P16-AH16,IF(P16&lt;&gt;"",P16,""))</f>
        <v/>
      </c>
      <c r="AJ16" s="32" t="n"/>
      <c r="AK16" s="32" t="n"/>
      <c r="AL16" s="32" t="n"/>
      <c r="AM16" s="34" t="n"/>
      <c r="AN16" s="35" t="n"/>
    </row>
    <row r="17" ht="20" customHeight="1">
      <c r="A17" s="24">
        <f>IF(C17&lt;&gt;"",ROW()-3,"")</f>
        <v/>
      </c>
      <c r="B17" s="25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7" t="n"/>
      <c r="N17" s="28" t="n"/>
      <c r="O17" s="28" t="n"/>
      <c r="P17" s="28">
        <f>IF(AND(Q17="SÍ",N17&lt;&gt;"",O17&lt;&gt;""),N17-O17,"")</f>
        <v/>
      </c>
      <c r="Q17" s="26" t="n"/>
      <c r="R17" s="26" t="n"/>
      <c r="S17" s="26" t="n"/>
      <c r="T17" s="26">
        <f>IF(S17&lt;&gt;"",CHOOSE(WEEKDAY(S17,2),"Lunes","Martes","Miércoles","Jueves","Viernes","Sábado","Domingo"),"")</f>
        <v/>
      </c>
      <c r="U17" s="28">
        <f>IF(AND(P17&lt;&gt;"",R17&gt;0),ROUND(P17/R17,2),"")</f>
        <v/>
      </c>
      <c r="V17" s="25">
        <f>IF(AND(Q17="SÍ",S17&lt;&gt;""),S17,"")</f>
        <v/>
      </c>
      <c r="W17" s="26" t="n"/>
      <c r="X17" s="25">
        <f>IF(V17&lt;&gt;"",V17+7,"")</f>
        <v/>
      </c>
      <c r="Y17" s="26" t="n"/>
      <c r="Z17" s="25">
        <f>IF(X17&lt;&gt;"",X17+7,"")</f>
        <v/>
      </c>
      <c r="AA17" s="26" t="n"/>
      <c r="AB17" s="25">
        <f>IF(Z17&lt;&gt;"",Z17+7,"")</f>
        <v/>
      </c>
      <c r="AC17" s="26" t="n"/>
      <c r="AD17" s="25">
        <f>IF(AB17&lt;&gt;"",AB17+7,"")</f>
        <v/>
      </c>
      <c r="AE17" s="26" t="n"/>
      <c r="AF17" s="25">
        <f>IF(AD17&lt;&gt;"",AD17+7,"")</f>
        <v/>
      </c>
      <c r="AG17" s="26" t="n"/>
      <c r="AH17" s="28">
        <f>IF(U17&lt;&gt;"",(COUNTIF(W17,"PAGADO")+COUNTIF(Y17,"PAGADO")+COUNTIF(AA17,"PAGADO")+COUNTIF(AC17,"PAGADO")+COUNTIF(AE17,"PAGADO")+COUNTIF(AG17,"PAGADO"))*U17,"")</f>
        <v/>
      </c>
      <c r="AI17" s="28">
        <f>IF(AND(P17&lt;&gt;"",AH17&lt;&gt;""),P17-AH17,IF(P17&lt;&gt;"",P17,""))</f>
        <v/>
      </c>
      <c r="AJ17" s="26" t="n"/>
      <c r="AK17" s="26" t="n"/>
      <c r="AL17" s="26" t="n"/>
      <c r="AM17" s="28" t="n"/>
      <c r="AN17" s="29" t="n"/>
    </row>
    <row r="18" ht="20" customHeight="1">
      <c r="A18" s="30">
        <f>IF(C18&lt;&gt;"",ROW()-3,"")</f>
        <v/>
      </c>
      <c r="B18" s="31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3" t="n"/>
      <c r="N18" s="34" t="n"/>
      <c r="O18" s="34" t="n"/>
      <c r="P18" s="34">
        <f>IF(AND(Q18="SÍ",N18&lt;&gt;"",O18&lt;&gt;""),N18-O18,"")</f>
        <v/>
      </c>
      <c r="Q18" s="32" t="n"/>
      <c r="R18" s="32" t="n"/>
      <c r="S18" s="32" t="n"/>
      <c r="T18" s="32">
        <f>IF(S18&lt;&gt;"",CHOOSE(WEEKDAY(S18,2),"Lunes","Martes","Miércoles","Jueves","Viernes","Sábado","Domingo"),"")</f>
        <v/>
      </c>
      <c r="U18" s="34">
        <f>IF(AND(P18&lt;&gt;"",R18&gt;0),ROUND(P18/R18,2),"")</f>
        <v/>
      </c>
      <c r="V18" s="31">
        <f>IF(AND(Q18="SÍ",S18&lt;&gt;""),S18,"")</f>
        <v/>
      </c>
      <c r="W18" s="32" t="n"/>
      <c r="X18" s="31">
        <f>IF(V18&lt;&gt;"",V18+7,"")</f>
        <v/>
      </c>
      <c r="Y18" s="32" t="n"/>
      <c r="Z18" s="31">
        <f>IF(X18&lt;&gt;"",X18+7,"")</f>
        <v/>
      </c>
      <c r="AA18" s="32" t="n"/>
      <c r="AB18" s="31">
        <f>IF(Z18&lt;&gt;"",Z18+7,"")</f>
        <v/>
      </c>
      <c r="AC18" s="32" t="n"/>
      <c r="AD18" s="31">
        <f>IF(AB18&lt;&gt;"",AB18+7,"")</f>
        <v/>
      </c>
      <c r="AE18" s="32" t="n"/>
      <c r="AF18" s="31">
        <f>IF(AD18&lt;&gt;"",AD18+7,"")</f>
        <v/>
      </c>
      <c r="AG18" s="32" t="n"/>
      <c r="AH18" s="34">
        <f>IF(U18&lt;&gt;"",(COUNTIF(W18,"PAGADO")+COUNTIF(Y18,"PAGADO")+COUNTIF(AA18,"PAGADO")+COUNTIF(AC18,"PAGADO")+COUNTIF(AE18,"PAGADO")+COUNTIF(AG18,"PAGADO"))*U18,"")</f>
        <v/>
      </c>
      <c r="AI18" s="34">
        <f>IF(AND(P18&lt;&gt;"",AH18&lt;&gt;""),P18-AH18,IF(P18&lt;&gt;"",P18,""))</f>
        <v/>
      </c>
      <c r="AJ18" s="32" t="n"/>
      <c r="AK18" s="32" t="n"/>
      <c r="AL18" s="32" t="n"/>
      <c r="AM18" s="34" t="n"/>
      <c r="AN18" s="35" t="n"/>
    </row>
    <row r="19" ht="20" customHeight="1">
      <c r="A19" s="24">
        <f>IF(C19&lt;&gt;"",ROW()-3,"")</f>
        <v/>
      </c>
      <c r="B19" s="25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7" t="n"/>
      <c r="N19" s="28" t="n"/>
      <c r="O19" s="28" t="n"/>
      <c r="P19" s="28">
        <f>IF(AND(Q19="SÍ",N19&lt;&gt;"",O19&lt;&gt;""),N19-O19,"")</f>
        <v/>
      </c>
      <c r="Q19" s="26" t="n"/>
      <c r="R19" s="26" t="n"/>
      <c r="S19" s="26" t="n"/>
      <c r="T19" s="26">
        <f>IF(S19&lt;&gt;"",CHOOSE(WEEKDAY(S19,2),"Lunes","Martes","Miércoles","Jueves","Viernes","Sábado","Domingo"),"")</f>
        <v/>
      </c>
      <c r="U19" s="28">
        <f>IF(AND(P19&lt;&gt;"",R19&gt;0),ROUND(P19/R19,2),"")</f>
        <v/>
      </c>
      <c r="V19" s="25">
        <f>IF(AND(Q19="SÍ",S19&lt;&gt;""),S19,"")</f>
        <v/>
      </c>
      <c r="W19" s="26" t="n"/>
      <c r="X19" s="25">
        <f>IF(V19&lt;&gt;"",V19+7,"")</f>
        <v/>
      </c>
      <c r="Y19" s="26" t="n"/>
      <c r="Z19" s="25">
        <f>IF(X19&lt;&gt;"",X19+7,"")</f>
        <v/>
      </c>
      <c r="AA19" s="26" t="n"/>
      <c r="AB19" s="25">
        <f>IF(Z19&lt;&gt;"",Z19+7,"")</f>
        <v/>
      </c>
      <c r="AC19" s="26" t="n"/>
      <c r="AD19" s="25">
        <f>IF(AB19&lt;&gt;"",AB19+7,"")</f>
        <v/>
      </c>
      <c r="AE19" s="26" t="n"/>
      <c r="AF19" s="25">
        <f>IF(AD19&lt;&gt;"",AD19+7,"")</f>
        <v/>
      </c>
      <c r="AG19" s="26" t="n"/>
      <c r="AH19" s="28">
        <f>IF(U19&lt;&gt;"",(COUNTIF(W19,"PAGADO")+COUNTIF(Y19,"PAGADO")+COUNTIF(AA19,"PAGADO")+COUNTIF(AC19,"PAGADO")+COUNTIF(AE19,"PAGADO")+COUNTIF(AG19,"PAGADO"))*U19,"")</f>
        <v/>
      </c>
      <c r="AI19" s="28">
        <f>IF(AND(P19&lt;&gt;"",AH19&lt;&gt;""),P19-AH19,IF(P19&lt;&gt;"",P19,""))</f>
        <v/>
      </c>
      <c r="AJ19" s="26" t="n"/>
      <c r="AK19" s="26" t="n"/>
      <c r="AL19" s="26" t="n"/>
      <c r="AM19" s="28" t="n"/>
      <c r="AN19" s="29" t="n"/>
    </row>
    <row r="20" ht="20" customHeight="1">
      <c r="A20" s="30">
        <f>IF(C20&lt;&gt;"",ROW()-3,"")</f>
        <v/>
      </c>
      <c r="B20" s="31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3" t="n"/>
      <c r="N20" s="34" t="n"/>
      <c r="O20" s="34" t="n"/>
      <c r="P20" s="34">
        <f>IF(AND(Q20="SÍ",N20&lt;&gt;"",O20&lt;&gt;""),N20-O20,"")</f>
        <v/>
      </c>
      <c r="Q20" s="32" t="n"/>
      <c r="R20" s="32" t="n"/>
      <c r="S20" s="32" t="n"/>
      <c r="T20" s="32">
        <f>IF(S20&lt;&gt;"",CHOOSE(WEEKDAY(S20,2),"Lunes","Martes","Miércoles","Jueves","Viernes","Sábado","Domingo"),"")</f>
        <v/>
      </c>
      <c r="U20" s="34">
        <f>IF(AND(P20&lt;&gt;"",R20&gt;0),ROUND(P20/R20,2),"")</f>
        <v/>
      </c>
      <c r="V20" s="31">
        <f>IF(AND(Q20="SÍ",S20&lt;&gt;""),S20,"")</f>
        <v/>
      </c>
      <c r="W20" s="32" t="n"/>
      <c r="X20" s="31">
        <f>IF(V20&lt;&gt;"",V20+7,"")</f>
        <v/>
      </c>
      <c r="Y20" s="32" t="n"/>
      <c r="Z20" s="31">
        <f>IF(X20&lt;&gt;"",X20+7,"")</f>
        <v/>
      </c>
      <c r="AA20" s="32" t="n"/>
      <c r="AB20" s="31">
        <f>IF(Z20&lt;&gt;"",Z20+7,"")</f>
        <v/>
      </c>
      <c r="AC20" s="32" t="n"/>
      <c r="AD20" s="31">
        <f>IF(AB20&lt;&gt;"",AB20+7,"")</f>
        <v/>
      </c>
      <c r="AE20" s="32" t="n"/>
      <c r="AF20" s="31">
        <f>IF(AD20&lt;&gt;"",AD20+7,"")</f>
        <v/>
      </c>
      <c r="AG20" s="32" t="n"/>
      <c r="AH20" s="34">
        <f>IF(U20&lt;&gt;"",(COUNTIF(W20,"PAGADO")+COUNTIF(Y20,"PAGADO")+COUNTIF(AA20,"PAGADO")+COUNTIF(AC20,"PAGADO")+COUNTIF(AE20,"PAGADO")+COUNTIF(AG20,"PAGADO"))*U20,"")</f>
        <v/>
      </c>
      <c r="AI20" s="34">
        <f>IF(AND(P20&lt;&gt;"",AH20&lt;&gt;""),P20-AH20,IF(P20&lt;&gt;"",P20,""))</f>
        <v/>
      </c>
      <c r="AJ20" s="32" t="n"/>
      <c r="AK20" s="32" t="n"/>
      <c r="AL20" s="32" t="n"/>
      <c r="AM20" s="34" t="n"/>
      <c r="AN20" s="35" t="n"/>
    </row>
    <row r="21" ht="20" customHeight="1">
      <c r="A21" s="24">
        <f>IF(C21&lt;&gt;"",ROW()-3,"")</f>
        <v/>
      </c>
      <c r="B21" s="25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7" t="n"/>
      <c r="N21" s="28" t="n"/>
      <c r="O21" s="28" t="n"/>
      <c r="P21" s="28">
        <f>IF(AND(Q21="SÍ",N21&lt;&gt;"",O21&lt;&gt;""),N21-O21,"")</f>
        <v/>
      </c>
      <c r="Q21" s="26" t="n"/>
      <c r="R21" s="26" t="n"/>
      <c r="S21" s="26" t="n"/>
      <c r="T21" s="26">
        <f>IF(S21&lt;&gt;"",CHOOSE(WEEKDAY(S21,2),"Lunes","Martes","Miércoles","Jueves","Viernes","Sábado","Domingo"),"")</f>
        <v/>
      </c>
      <c r="U21" s="28">
        <f>IF(AND(P21&lt;&gt;"",R21&gt;0),ROUND(P21/R21,2),"")</f>
        <v/>
      </c>
      <c r="V21" s="25">
        <f>IF(AND(Q21="SÍ",S21&lt;&gt;""),S21,"")</f>
        <v/>
      </c>
      <c r="W21" s="26" t="n"/>
      <c r="X21" s="25">
        <f>IF(V21&lt;&gt;"",V21+7,"")</f>
        <v/>
      </c>
      <c r="Y21" s="26" t="n"/>
      <c r="Z21" s="25">
        <f>IF(X21&lt;&gt;"",X21+7,"")</f>
        <v/>
      </c>
      <c r="AA21" s="26" t="n"/>
      <c r="AB21" s="25">
        <f>IF(Z21&lt;&gt;"",Z21+7,"")</f>
        <v/>
      </c>
      <c r="AC21" s="26" t="n"/>
      <c r="AD21" s="25">
        <f>IF(AB21&lt;&gt;"",AB21+7,"")</f>
        <v/>
      </c>
      <c r="AE21" s="26" t="n"/>
      <c r="AF21" s="25">
        <f>IF(AD21&lt;&gt;"",AD21+7,"")</f>
        <v/>
      </c>
      <c r="AG21" s="26" t="n"/>
      <c r="AH21" s="28">
        <f>IF(U21&lt;&gt;"",(COUNTIF(W21,"PAGADO")+COUNTIF(Y21,"PAGADO")+COUNTIF(AA21,"PAGADO")+COUNTIF(AC21,"PAGADO")+COUNTIF(AE21,"PAGADO")+COUNTIF(AG21,"PAGADO"))*U21,"")</f>
        <v/>
      </c>
      <c r="AI21" s="28">
        <f>IF(AND(P21&lt;&gt;"",AH21&lt;&gt;""),P21-AH21,IF(P21&lt;&gt;"",P21,""))</f>
        <v/>
      </c>
      <c r="AJ21" s="26" t="n"/>
      <c r="AK21" s="26" t="n"/>
      <c r="AL21" s="26" t="n"/>
      <c r="AM21" s="28" t="n"/>
      <c r="AN21" s="29" t="n"/>
    </row>
    <row r="22" ht="20" customHeight="1">
      <c r="A22" s="30">
        <f>IF(C22&lt;&gt;"",ROW()-3,"")</f>
        <v/>
      </c>
      <c r="B22" s="31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3" t="n"/>
      <c r="N22" s="34" t="n"/>
      <c r="O22" s="34" t="n"/>
      <c r="P22" s="34">
        <f>IF(AND(Q22="SÍ",N22&lt;&gt;"",O22&lt;&gt;""),N22-O22,"")</f>
        <v/>
      </c>
      <c r="Q22" s="32" t="n"/>
      <c r="R22" s="32" t="n"/>
      <c r="S22" s="32" t="n"/>
      <c r="T22" s="32">
        <f>IF(S22&lt;&gt;"",CHOOSE(WEEKDAY(S22,2),"Lunes","Martes","Miércoles","Jueves","Viernes","Sábado","Domingo"),"")</f>
        <v/>
      </c>
      <c r="U22" s="34">
        <f>IF(AND(P22&lt;&gt;"",R22&gt;0),ROUND(P22/R22,2),"")</f>
        <v/>
      </c>
      <c r="V22" s="31">
        <f>IF(AND(Q22="SÍ",S22&lt;&gt;""),S22,"")</f>
        <v/>
      </c>
      <c r="W22" s="32" t="n"/>
      <c r="X22" s="31">
        <f>IF(V22&lt;&gt;"",V22+7,"")</f>
        <v/>
      </c>
      <c r="Y22" s="32" t="n"/>
      <c r="Z22" s="31">
        <f>IF(X22&lt;&gt;"",X22+7,"")</f>
        <v/>
      </c>
      <c r="AA22" s="32" t="n"/>
      <c r="AB22" s="31">
        <f>IF(Z22&lt;&gt;"",Z22+7,"")</f>
        <v/>
      </c>
      <c r="AC22" s="32" t="n"/>
      <c r="AD22" s="31">
        <f>IF(AB22&lt;&gt;"",AB22+7,"")</f>
        <v/>
      </c>
      <c r="AE22" s="32" t="n"/>
      <c r="AF22" s="31">
        <f>IF(AD22&lt;&gt;"",AD22+7,"")</f>
        <v/>
      </c>
      <c r="AG22" s="32" t="n"/>
      <c r="AH22" s="34">
        <f>IF(U22&lt;&gt;"",(COUNTIF(W22,"PAGADO")+COUNTIF(Y22,"PAGADO")+COUNTIF(AA22,"PAGADO")+COUNTIF(AC22,"PAGADO")+COUNTIF(AE22,"PAGADO")+COUNTIF(AG22,"PAGADO"))*U22,"")</f>
        <v/>
      </c>
      <c r="AI22" s="34">
        <f>IF(AND(P22&lt;&gt;"",AH22&lt;&gt;""),P22-AH22,IF(P22&lt;&gt;"",P22,""))</f>
        <v/>
      </c>
      <c r="AJ22" s="32" t="n"/>
      <c r="AK22" s="32" t="n"/>
      <c r="AL22" s="32" t="n"/>
      <c r="AM22" s="34" t="n"/>
      <c r="AN22" s="35" t="n"/>
    </row>
    <row r="23" ht="20" customHeight="1">
      <c r="A23" s="24">
        <f>IF(C23&lt;&gt;"",ROW()-3,"")</f>
        <v/>
      </c>
      <c r="B23" s="25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7" t="n"/>
      <c r="N23" s="28" t="n"/>
      <c r="O23" s="28" t="n"/>
      <c r="P23" s="28">
        <f>IF(AND(Q23="SÍ",N23&lt;&gt;"",O23&lt;&gt;""),N23-O23,"")</f>
        <v/>
      </c>
      <c r="Q23" s="26" t="n"/>
      <c r="R23" s="26" t="n"/>
      <c r="S23" s="26" t="n"/>
      <c r="T23" s="26">
        <f>IF(S23&lt;&gt;"",CHOOSE(WEEKDAY(S23,2),"Lunes","Martes","Miércoles","Jueves","Viernes","Sábado","Domingo"),"")</f>
        <v/>
      </c>
      <c r="U23" s="28">
        <f>IF(AND(P23&lt;&gt;"",R23&gt;0),ROUND(P23/R23,2),"")</f>
        <v/>
      </c>
      <c r="V23" s="25">
        <f>IF(AND(Q23="SÍ",S23&lt;&gt;""),S23,"")</f>
        <v/>
      </c>
      <c r="W23" s="26" t="n"/>
      <c r="X23" s="25">
        <f>IF(V23&lt;&gt;"",V23+7,"")</f>
        <v/>
      </c>
      <c r="Y23" s="26" t="n"/>
      <c r="Z23" s="25">
        <f>IF(X23&lt;&gt;"",X23+7,"")</f>
        <v/>
      </c>
      <c r="AA23" s="26" t="n"/>
      <c r="AB23" s="25">
        <f>IF(Z23&lt;&gt;"",Z23+7,"")</f>
        <v/>
      </c>
      <c r="AC23" s="26" t="n"/>
      <c r="AD23" s="25">
        <f>IF(AB23&lt;&gt;"",AB23+7,"")</f>
        <v/>
      </c>
      <c r="AE23" s="26" t="n"/>
      <c r="AF23" s="25">
        <f>IF(AD23&lt;&gt;"",AD23+7,"")</f>
        <v/>
      </c>
      <c r="AG23" s="26" t="n"/>
      <c r="AH23" s="28">
        <f>IF(U23&lt;&gt;"",(COUNTIF(W23,"PAGADO")+COUNTIF(Y23,"PAGADO")+COUNTIF(AA23,"PAGADO")+COUNTIF(AC23,"PAGADO")+COUNTIF(AE23,"PAGADO")+COUNTIF(AG23,"PAGADO"))*U23,"")</f>
        <v/>
      </c>
      <c r="AI23" s="28">
        <f>IF(AND(P23&lt;&gt;"",AH23&lt;&gt;""),P23-AH23,IF(P23&lt;&gt;"",P23,""))</f>
        <v/>
      </c>
      <c r="AJ23" s="26" t="n"/>
      <c r="AK23" s="26" t="n"/>
      <c r="AL23" s="26" t="n"/>
      <c r="AM23" s="28" t="n"/>
      <c r="AN23" s="29" t="n"/>
    </row>
    <row r="24" ht="20" customHeight="1">
      <c r="A24" s="30">
        <f>IF(C24&lt;&gt;"",ROW()-3,"")</f>
        <v/>
      </c>
      <c r="B24" s="31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3" t="n"/>
      <c r="N24" s="34" t="n"/>
      <c r="O24" s="34" t="n"/>
      <c r="P24" s="34">
        <f>IF(AND(Q24="SÍ",N24&lt;&gt;"",O24&lt;&gt;""),N24-O24,"")</f>
        <v/>
      </c>
      <c r="Q24" s="32" t="n"/>
      <c r="R24" s="32" t="n"/>
      <c r="S24" s="32" t="n"/>
      <c r="T24" s="32">
        <f>IF(S24&lt;&gt;"",CHOOSE(WEEKDAY(S24,2),"Lunes","Martes","Miércoles","Jueves","Viernes","Sábado","Domingo"),"")</f>
        <v/>
      </c>
      <c r="U24" s="34">
        <f>IF(AND(P24&lt;&gt;"",R24&gt;0),ROUND(P24/R24,2),"")</f>
        <v/>
      </c>
      <c r="V24" s="31">
        <f>IF(AND(Q24="SÍ",S24&lt;&gt;""),S24,"")</f>
        <v/>
      </c>
      <c r="W24" s="32" t="n"/>
      <c r="X24" s="31">
        <f>IF(V24&lt;&gt;"",V24+7,"")</f>
        <v/>
      </c>
      <c r="Y24" s="32" t="n"/>
      <c r="Z24" s="31">
        <f>IF(X24&lt;&gt;"",X24+7,"")</f>
        <v/>
      </c>
      <c r="AA24" s="32" t="n"/>
      <c r="AB24" s="31">
        <f>IF(Z24&lt;&gt;"",Z24+7,"")</f>
        <v/>
      </c>
      <c r="AC24" s="32" t="n"/>
      <c r="AD24" s="31">
        <f>IF(AB24&lt;&gt;"",AB24+7,"")</f>
        <v/>
      </c>
      <c r="AE24" s="32" t="n"/>
      <c r="AF24" s="31">
        <f>IF(AD24&lt;&gt;"",AD24+7,"")</f>
        <v/>
      </c>
      <c r="AG24" s="32" t="n"/>
      <c r="AH24" s="34">
        <f>IF(U24&lt;&gt;"",(COUNTIF(W24,"PAGADO")+COUNTIF(Y24,"PAGADO")+COUNTIF(AA24,"PAGADO")+COUNTIF(AC24,"PAGADO")+COUNTIF(AE24,"PAGADO")+COUNTIF(AG24,"PAGADO"))*U24,"")</f>
        <v/>
      </c>
      <c r="AI24" s="34">
        <f>IF(AND(P24&lt;&gt;"",AH24&lt;&gt;""),P24-AH24,IF(P24&lt;&gt;"",P24,""))</f>
        <v/>
      </c>
      <c r="AJ24" s="32" t="n"/>
      <c r="AK24" s="32" t="n"/>
      <c r="AL24" s="32" t="n"/>
      <c r="AM24" s="34" t="n"/>
      <c r="AN24" s="35" t="n"/>
    </row>
    <row r="25" ht="20" customHeight="1">
      <c r="A25" s="24">
        <f>IF(C25&lt;&gt;"",ROW()-3,"")</f>
        <v/>
      </c>
      <c r="B25" s="25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7" t="n"/>
      <c r="N25" s="28" t="n"/>
      <c r="O25" s="28" t="n"/>
      <c r="P25" s="28">
        <f>IF(AND(Q25="SÍ",N25&lt;&gt;"",O25&lt;&gt;""),N25-O25,"")</f>
        <v/>
      </c>
      <c r="Q25" s="26" t="n"/>
      <c r="R25" s="26" t="n"/>
      <c r="S25" s="26" t="n"/>
      <c r="T25" s="26">
        <f>IF(S25&lt;&gt;"",CHOOSE(WEEKDAY(S25,2),"Lunes","Martes","Miércoles","Jueves","Viernes","Sábado","Domingo"),"")</f>
        <v/>
      </c>
      <c r="U25" s="28">
        <f>IF(AND(P25&lt;&gt;"",R25&gt;0),ROUND(P25/R25,2),"")</f>
        <v/>
      </c>
      <c r="V25" s="25">
        <f>IF(AND(Q25="SÍ",S25&lt;&gt;""),S25,"")</f>
        <v/>
      </c>
      <c r="W25" s="26" t="n"/>
      <c r="X25" s="25">
        <f>IF(V25&lt;&gt;"",V25+7,"")</f>
        <v/>
      </c>
      <c r="Y25" s="26" t="n"/>
      <c r="Z25" s="25">
        <f>IF(X25&lt;&gt;"",X25+7,"")</f>
        <v/>
      </c>
      <c r="AA25" s="26" t="n"/>
      <c r="AB25" s="25">
        <f>IF(Z25&lt;&gt;"",Z25+7,"")</f>
        <v/>
      </c>
      <c r="AC25" s="26" t="n"/>
      <c r="AD25" s="25">
        <f>IF(AB25&lt;&gt;"",AB25+7,"")</f>
        <v/>
      </c>
      <c r="AE25" s="26" t="n"/>
      <c r="AF25" s="25">
        <f>IF(AD25&lt;&gt;"",AD25+7,"")</f>
        <v/>
      </c>
      <c r="AG25" s="26" t="n"/>
      <c r="AH25" s="28">
        <f>IF(U25&lt;&gt;"",(COUNTIF(W25,"PAGADO")+COUNTIF(Y25,"PAGADO")+COUNTIF(AA25,"PAGADO")+COUNTIF(AC25,"PAGADO")+COUNTIF(AE25,"PAGADO")+COUNTIF(AG25,"PAGADO"))*U25,"")</f>
        <v/>
      </c>
      <c r="AI25" s="28">
        <f>IF(AND(P25&lt;&gt;"",AH25&lt;&gt;""),P25-AH25,IF(P25&lt;&gt;"",P25,""))</f>
        <v/>
      </c>
      <c r="AJ25" s="26" t="n"/>
      <c r="AK25" s="26" t="n"/>
      <c r="AL25" s="26" t="n"/>
      <c r="AM25" s="28" t="n"/>
      <c r="AN25" s="29" t="n"/>
    </row>
    <row r="26" ht="20" customHeight="1">
      <c r="A26" s="30">
        <f>IF(C26&lt;&gt;"",ROW()-3,"")</f>
        <v/>
      </c>
      <c r="B26" s="31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3" t="n"/>
      <c r="N26" s="34" t="n"/>
      <c r="O26" s="34" t="n"/>
      <c r="P26" s="34">
        <f>IF(AND(Q26="SÍ",N26&lt;&gt;"",O26&lt;&gt;""),N26-O26,"")</f>
        <v/>
      </c>
      <c r="Q26" s="32" t="n"/>
      <c r="R26" s="32" t="n"/>
      <c r="S26" s="32" t="n"/>
      <c r="T26" s="32">
        <f>IF(S26&lt;&gt;"",CHOOSE(WEEKDAY(S26,2),"Lunes","Martes","Miércoles","Jueves","Viernes","Sábado","Domingo"),"")</f>
        <v/>
      </c>
      <c r="U26" s="34">
        <f>IF(AND(P26&lt;&gt;"",R26&gt;0),ROUND(P26/R26,2),"")</f>
        <v/>
      </c>
      <c r="V26" s="31">
        <f>IF(AND(Q26="SÍ",S26&lt;&gt;""),S26,"")</f>
        <v/>
      </c>
      <c r="W26" s="32" t="n"/>
      <c r="X26" s="31">
        <f>IF(V26&lt;&gt;"",V26+7,"")</f>
        <v/>
      </c>
      <c r="Y26" s="32" t="n"/>
      <c r="Z26" s="31">
        <f>IF(X26&lt;&gt;"",X26+7,"")</f>
        <v/>
      </c>
      <c r="AA26" s="32" t="n"/>
      <c r="AB26" s="31">
        <f>IF(Z26&lt;&gt;"",Z26+7,"")</f>
        <v/>
      </c>
      <c r="AC26" s="32" t="n"/>
      <c r="AD26" s="31">
        <f>IF(AB26&lt;&gt;"",AB26+7,"")</f>
        <v/>
      </c>
      <c r="AE26" s="32" t="n"/>
      <c r="AF26" s="31">
        <f>IF(AD26&lt;&gt;"",AD26+7,"")</f>
        <v/>
      </c>
      <c r="AG26" s="32" t="n"/>
      <c r="AH26" s="34">
        <f>IF(U26&lt;&gt;"",(COUNTIF(W26,"PAGADO")+COUNTIF(Y26,"PAGADO")+COUNTIF(AA26,"PAGADO")+COUNTIF(AC26,"PAGADO")+COUNTIF(AE26,"PAGADO")+COUNTIF(AG26,"PAGADO"))*U26,"")</f>
        <v/>
      </c>
      <c r="AI26" s="34">
        <f>IF(AND(P26&lt;&gt;"",AH26&lt;&gt;""),P26-AH26,IF(P26&lt;&gt;"",P26,""))</f>
        <v/>
      </c>
      <c r="AJ26" s="32" t="n"/>
      <c r="AK26" s="32" t="n"/>
      <c r="AL26" s="32" t="n"/>
      <c r="AM26" s="34" t="n"/>
      <c r="AN26" s="35" t="n"/>
    </row>
    <row r="27" ht="20" customHeight="1">
      <c r="A27" s="24">
        <f>IF(C27&lt;&gt;"",ROW()-3,"")</f>
        <v/>
      </c>
      <c r="B27" s="25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7" t="n"/>
      <c r="N27" s="28" t="n"/>
      <c r="O27" s="28" t="n"/>
      <c r="P27" s="28">
        <f>IF(AND(Q27="SÍ",N27&lt;&gt;"",O27&lt;&gt;""),N27-O27,"")</f>
        <v/>
      </c>
      <c r="Q27" s="26" t="n"/>
      <c r="R27" s="26" t="n"/>
      <c r="S27" s="26" t="n"/>
      <c r="T27" s="26">
        <f>IF(S27&lt;&gt;"",CHOOSE(WEEKDAY(S27,2),"Lunes","Martes","Miércoles","Jueves","Viernes","Sábado","Domingo"),"")</f>
        <v/>
      </c>
      <c r="U27" s="28">
        <f>IF(AND(P27&lt;&gt;"",R27&gt;0),ROUND(P27/R27,2),"")</f>
        <v/>
      </c>
      <c r="V27" s="25">
        <f>IF(AND(Q27="SÍ",S27&lt;&gt;""),S27,"")</f>
        <v/>
      </c>
      <c r="W27" s="26" t="n"/>
      <c r="X27" s="25">
        <f>IF(V27&lt;&gt;"",V27+7,"")</f>
        <v/>
      </c>
      <c r="Y27" s="26" t="n"/>
      <c r="Z27" s="25">
        <f>IF(X27&lt;&gt;"",X27+7,"")</f>
        <v/>
      </c>
      <c r="AA27" s="26" t="n"/>
      <c r="AB27" s="25">
        <f>IF(Z27&lt;&gt;"",Z27+7,"")</f>
        <v/>
      </c>
      <c r="AC27" s="26" t="n"/>
      <c r="AD27" s="25">
        <f>IF(AB27&lt;&gt;"",AB27+7,"")</f>
        <v/>
      </c>
      <c r="AE27" s="26" t="n"/>
      <c r="AF27" s="25">
        <f>IF(AD27&lt;&gt;"",AD27+7,"")</f>
        <v/>
      </c>
      <c r="AG27" s="26" t="n"/>
      <c r="AH27" s="28">
        <f>IF(U27&lt;&gt;"",(COUNTIF(W27,"PAGADO")+COUNTIF(Y27,"PAGADO")+COUNTIF(AA27,"PAGADO")+COUNTIF(AC27,"PAGADO")+COUNTIF(AE27,"PAGADO")+COUNTIF(AG27,"PAGADO"))*U27,"")</f>
        <v/>
      </c>
      <c r="AI27" s="28">
        <f>IF(AND(P27&lt;&gt;"",AH27&lt;&gt;""),P27-AH27,IF(P27&lt;&gt;"",P27,""))</f>
        <v/>
      </c>
      <c r="AJ27" s="26" t="n"/>
      <c r="AK27" s="26" t="n"/>
      <c r="AL27" s="26" t="n"/>
      <c r="AM27" s="28" t="n"/>
      <c r="AN27" s="29" t="n"/>
    </row>
    <row r="28" ht="20" customHeight="1">
      <c r="A28" s="30">
        <f>IF(C28&lt;&gt;"",ROW()-3,"")</f>
        <v/>
      </c>
      <c r="B28" s="31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3" t="n"/>
      <c r="N28" s="34" t="n"/>
      <c r="O28" s="34" t="n"/>
      <c r="P28" s="34">
        <f>IF(AND(Q28="SÍ",N28&lt;&gt;"",O28&lt;&gt;""),N28-O28,"")</f>
        <v/>
      </c>
      <c r="Q28" s="32" t="n"/>
      <c r="R28" s="32" t="n"/>
      <c r="S28" s="32" t="n"/>
      <c r="T28" s="32">
        <f>IF(S28&lt;&gt;"",CHOOSE(WEEKDAY(S28,2),"Lunes","Martes","Miércoles","Jueves","Viernes","Sábado","Domingo"),"")</f>
        <v/>
      </c>
      <c r="U28" s="34">
        <f>IF(AND(P28&lt;&gt;"",R28&gt;0),ROUND(P28/R28,2),"")</f>
        <v/>
      </c>
      <c r="V28" s="31">
        <f>IF(AND(Q28="SÍ",S28&lt;&gt;""),S28,"")</f>
        <v/>
      </c>
      <c r="W28" s="32" t="n"/>
      <c r="X28" s="31">
        <f>IF(V28&lt;&gt;"",V28+7,"")</f>
        <v/>
      </c>
      <c r="Y28" s="32" t="n"/>
      <c r="Z28" s="31">
        <f>IF(X28&lt;&gt;"",X28+7,"")</f>
        <v/>
      </c>
      <c r="AA28" s="32" t="n"/>
      <c r="AB28" s="31">
        <f>IF(Z28&lt;&gt;"",Z28+7,"")</f>
        <v/>
      </c>
      <c r="AC28" s="32" t="n"/>
      <c r="AD28" s="31">
        <f>IF(AB28&lt;&gt;"",AB28+7,"")</f>
        <v/>
      </c>
      <c r="AE28" s="32" t="n"/>
      <c r="AF28" s="31">
        <f>IF(AD28&lt;&gt;"",AD28+7,"")</f>
        <v/>
      </c>
      <c r="AG28" s="32" t="n"/>
      <c r="AH28" s="34">
        <f>IF(U28&lt;&gt;"",(COUNTIF(W28,"PAGADO")+COUNTIF(Y28,"PAGADO")+COUNTIF(AA28,"PAGADO")+COUNTIF(AC28,"PAGADO")+COUNTIF(AE28,"PAGADO")+COUNTIF(AG28,"PAGADO"))*U28,"")</f>
        <v/>
      </c>
      <c r="AI28" s="34">
        <f>IF(AND(P28&lt;&gt;"",AH28&lt;&gt;""),P28-AH28,IF(P28&lt;&gt;"",P28,""))</f>
        <v/>
      </c>
      <c r="AJ28" s="32" t="n"/>
      <c r="AK28" s="32" t="n"/>
      <c r="AL28" s="32" t="n"/>
      <c r="AM28" s="34" t="n"/>
      <c r="AN28" s="35" t="n"/>
    </row>
    <row r="29" ht="20" customHeight="1">
      <c r="A29" s="24">
        <f>IF(C29&lt;&gt;"",ROW()-3,"")</f>
        <v/>
      </c>
      <c r="B29" s="25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7" t="n"/>
      <c r="N29" s="28" t="n"/>
      <c r="O29" s="28" t="n"/>
      <c r="P29" s="28">
        <f>IF(AND(Q29="SÍ",N29&lt;&gt;"",O29&lt;&gt;""),N29-O29,"")</f>
        <v/>
      </c>
      <c r="Q29" s="26" t="n"/>
      <c r="R29" s="26" t="n"/>
      <c r="S29" s="26" t="n"/>
      <c r="T29" s="26">
        <f>IF(S29&lt;&gt;"",CHOOSE(WEEKDAY(S29,2),"Lunes","Martes","Miércoles","Jueves","Viernes","Sábado","Domingo"),"")</f>
        <v/>
      </c>
      <c r="U29" s="28">
        <f>IF(AND(P29&lt;&gt;"",R29&gt;0),ROUND(P29/R29,2),"")</f>
        <v/>
      </c>
      <c r="V29" s="25">
        <f>IF(AND(Q29="SÍ",S29&lt;&gt;""),S29,"")</f>
        <v/>
      </c>
      <c r="W29" s="26" t="n"/>
      <c r="X29" s="25">
        <f>IF(V29&lt;&gt;"",V29+7,"")</f>
        <v/>
      </c>
      <c r="Y29" s="26" t="n"/>
      <c r="Z29" s="25">
        <f>IF(X29&lt;&gt;"",X29+7,"")</f>
        <v/>
      </c>
      <c r="AA29" s="26" t="n"/>
      <c r="AB29" s="25">
        <f>IF(Z29&lt;&gt;"",Z29+7,"")</f>
        <v/>
      </c>
      <c r="AC29" s="26" t="n"/>
      <c r="AD29" s="25">
        <f>IF(AB29&lt;&gt;"",AB29+7,"")</f>
        <v/>
      </c>
      <c r="AE29" s="26" t="n"/>
      <c r="AF29" s="25">
        <f>IF(AD29&lt;&gt;"",AD29+7,"")</f>
        <v/>
      </c>
      <c r="AG29" s="26" t="n"/>
      <c r="AH29" s="28">
        <f>IF(U29&lt;&gt;"",(COUNTIF(W29,"PAGADO")+COUNTIF(Y29,"PAGADO")+COUNTIF(AA29,"PAGADO")+COUNTIF(AC29,"PAGADO")+COUNTIF(AE29,"PAGADO")+COUNTIF(AG29,"PAGADO"))*U29,"")</f>
        <v/>
      </c>
      <c r="AI29" s="28">
        <f>IF(AND(P29&lt;&gt;"",AH29&lt;&gt;""),P29-AH29,IF(P29&lt;&gt;"",P29,""))</f>
        <v/>
      </c>
      <c r="AJ29" s="26" t="n"/>
      <c r="AK29" s="26" t="n"/>
      <c r="AL29" s="26" t="n"/>
      <c r="AM29" s="28" t="n"/>
      <c r="AN29" s="29" t="n"/>
    </row>
    <row r="30" ht="20" customHeight="1">
      <c r="A30" s="30">
        <f>IF(C30&lt;&gt;"",ROW()-3,"")</f>
        <v/>
      </c>
      <c r="B30" s="31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3" t="n"/>
      <c r="N30" s="34" t="n"/>
      <c r="O30" s="34" t="n"/>
      <c r="P30" s="34">
        <f>IF(AND(Q30="SÍ",N30&lt;&gt;"",O30&lt;&gt;""),N30-O30,"")</f>
        <v/>
      </c>
      <c r="Q30" s="32" t="n"/>
      <c r="R30" s="32" t="n"/>
      <c r="S30" s="32" t="n"/>
      <c r="T30" s="32">
        <f>IF(S30&lt;&gt;"",CHOOSE(WEEKDAY(S30,2),"Lunes","Martes","Miércoles","Jueves","Viernes","Sábado","Domingo"),"")</f>
        <v/>
      </c>
      <c r="U30" s="34">
        <f>IF(AND(P30&lt;&gt;"",R30&gt;0),ROUND(P30/R30,2),"")</f>
        <v/>
      </c>
      <c r="V30" s="31">
        <f>IF(AND(Q30="SÍ",S30&lt;&gt;""),S30,"")</f>
        <v/>
      </c>
      <c r="W30" s="32" t="n"/>
      <c r="X30" s="31">
        <f>IF(V30&lt;&gt;"",V30+7,"")</f>
        <v/>
      </c>
      <c r="Y30" s="32" t="n"/>
      <c r="Z30" s="31">
        <f>IF(X30&lt;&gt;"",X30+7,"")</f>
        <v/>
      </c>
      <c r="AA30" s="32" t="n"/>
      <c r="AB30" s="31">
        <f>IF(Z30&lt;&gt;"",Z30+7,"")</f>
        <v/>
      </c>
      <c r="AC30" s="32" t="n"/>
      <c r="AD30" s="31">
        <f>IF(AB30&lt;&gt;"",AB30+7,"")</f>
        <v/>
      </c>
      <c r="AE30" s="32" t="n"/>
      <c r="AF30" s="31">
        <f>IF(AD30&lt;&gt;"",AD30+7,"")</f>
        <v/>
      </c>
      <c r="AG30" s="32" t="n"/>
      <c r="AH30" s="34">
        <f>IF(U30&lt;&gt;"",(COUNTIF(W30,"PAGADO")+COUNTIF(Y30,"PAGADO")+COUNTIF(AA30,"PAGADO")+COUNTIF(AC30,"PAGADO")+COUNTIF(AE30,"PAGADO")+COUNTIF(AG30,"PAGADO"))*U30,"")</f>
        <v/>
      </c>
      <c r="AI30" s="34">
        <f>IF(AND(P30&lt;&gt;"",AH30&lt;&gt;""),P30-AH30,IF(P30&lt;&gt;"",P30,""))</f>
        <v/>
      </c>
      <c r="AJ30" s="32" t="n"/>
      <c r="AK30" s="32" t="n"/>
      <c r="AL30" s="32" t="n"/>
      <c r="AM30" s="34" t="n"/>
      <c r="AN30" s="35" t="n"/>
    </row>
    <row r="31" ht="20" customHeight="1">
      <c r="A31" s="24">
        <f>IF(C31&lt;&gt;"",ROW()-3,"")</f>
        <v/>
      </c>
      <c r="B31" s="25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7" t="n"/>
      <c r="N31" s="28" t="n"/>
      <c r="O31" s="28" t="n"/>
      <c r="P31" s="28">
        <f>IF(AND(Q31="SÍ",N31&lt;&gt;"",O31&lt;&gt;""),N31-O31,"")</f>
        <v/>
      </c>
      <c r="Q31" s="26" t="n"/>
      <c r="R31" s="26" t="n"/>
      <c r="S31" s="26" t="n"/>
      <c r="T31" s="26">
        <f>IF(S31&lt;&gt;"",CHOOSE(WEEKDAY(S31,2),"Lunes","Martes","Miércoles","Jueves","Viernes","Sábado","Domingo"),"")</f>
        <v/>
      </c>
      <c r="U31" s="28">
        <f>IF(AND(P31&lt;&gt;"",R31&gt;0),ROUND(P31/R31,2),"")</f>
        <v/>
      </c>
      <c r="V31" s="25">
        <f>IF(AND(Q31="SÍ",S31&lt;&gt;""),S31,"")</f>
        <v/>
      </c>
      <c r="W31" s="26" t="n"/>
      <c r="X31" s="25">
        <f>IF(V31&lt;&gt;"",V31+7,"")</f>
        <v/>
      </c>
      <c r="Y31" s="26" t="n"/>
      <c r="Z31" s="25">
        <f>IF(X31&lt;&gt;"",X31+7,"")</f>
        <v/>
      </c>
      <c r="AA31" s="26" t="n"/>
      <c r="AB31" s="25">
        <f>IF(Z31&lt;&gt;"",Z31+7,"")</f>
        <v/>
      </c>
      <c r="AC31" s="26" t="n"/>
      <c r="AD31" s="25">
        <f>IF(AB31&lt;&gt;"",AB31+7,"")</f>
        <v/>
      </c>
      <c r="AE31" s="26" t="n"/>
      <c r="AF31" s="25">
        <f>IF(AD31&lt;&gt;"",AD31+7,"")</f>
        <v/>
      </c>
      <c r="AG31" s="26" t="n"/>
      <c r="AH31" s="28">
        <f>IF(U31&lt;&gt;"",(COUNTIF(W31,"PAGADO")+COUNTIF(Y31,"PAGADO")+COUNTIF(AA31,"PAGADO")+COUNTIF(AC31,"PAGADO")+COUNTIF(AE31,"PAGADO")+COUNTIF(AG31,"PAGADO"))*U31,"")</f>
        <v/>
      </c>
      <c r="AI31" s="28">
        <f>IF(AND(P31&lt;&gt;"",AH31&lt;&gt;""),P31-AH31,IF(P31&lt;&gt;"",P31,""))</f>
        <v/>
      </c>
      <c r="AJ31" s="26" t="n"/>
      <c r="AK31" s="26" t="n"/>
      <c r="AL31" s="26" t="n"/>
      <c r="AM31" s="28" t="n"/>
      <c r="AN31" s="29" t="n"/>
    </row>
    <row r="32" ht="20" customHeight="1">
      <c r="A32" s="30">
        <f>IF(C32&lt;&gt;"",ROW()-3,"")</f>
        <v/>
      </c>
      <c r="B32" s="31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3" t="n"/>
      <c r="N32" s="34" t="n"/>
      <c r="O32" s="34" t="n"/>
      <c r="P32" s="34">
        <f>IF(AND(Q32="SÍ",N32&lt;&gt;"",O32&lt;&gt;""),N32-O32,"")</f>
        <v/>
      </c>
      <c r="Q32" s="32" t="n"/>
      <c r="R32" s="32" t="n"/>
      <c r="S32" s="32" t="n"/>
      <c r="T32" s="32">
        <f>IF(S32&lt;&gt;"",CHOOSE(WEEKDAY(S32,2),"Lunes","Martes","Miércoles","Jueves","Viernes","Sábado","Domingo"),"")</f>
        <v/>
      </c>
      <c r="U32" s="34">
        <f>IF(AND(P32&lt;&gt;"",R32&gt;0),ROUND(P32/R32,2),"")</f>
        <v/>
      </c>
      <c r="V32" s="31">
        <f>IF(AND(Q32="SÍ",S32&lt;&gt;""),S32,"")</f>
        <v/>
      </c>
      <c r="W32" s="32" t="n"/>
      <c r="X32" s="31">
        <f>IF(V32&lt;&gt;"",V32+7,"")</f>
        <v/>
      </c>
      <c r="Y32" s="32" t="n"/>
      <c r="Z32" s="31">
        <f>IF(X32&lt;&gt;"",X32+7,"")</f>
        <v/>
      </c>
      <c r="AA32" s="32" t="n"/>
      <c r="AB32" s="31">
        <f>IF(Z32&lt;&gt;"",Z32+7,"")</f>
        <v/>
      </c>
      <c r="AC32" s="32" t="n"/>
      <c r="AD32" s="31">
        <f>IF(AB32&lt;&gt;"",AB32+7,"")</f>
        <v/>
      </c>
      <c r="AE32" s="32" t="n"/>
      <c r="AF32" s="31">
        <f>IF(AD32&lt;&gt;"",AD32+7,"")</f>
        <v/>
      </c>
      <c r="AG32" s="32" t="n"/>
      <c r="AH32" s="34">
        <f>IF(U32&lt;&gt;"",(COUNTIF(W32,"PAGADO")+COUNTIF(Y32,"PAGADO")+COUNTIF(AA32,"PAGADO")+COUNTIF(AC32,"PAGADO")+COUNTIF(AE32,"PAGADO")+COUNTIF(AG32,"PAGADO"))*U32,"")</f>
        <v/>
      </c>
      <c r="AI32" s="34">
        <f>IF(AND(P32&lt;&gt;"",AH32&lt;&gt;""),P32-AH32,IF(P32&lt;&gt;"",P32,""))</f>
        <v/>
      </c>
      <c r="AJ32" s="32" t="n"/>
      <c r="AK32" s="32" t="n"/>
      <c r="AL32" s="32" t="n"/>
      <c r="AM32" s="34" t="n"/>
      <c r="AN32" s="35" t="n"/>
    </row>
    <row r="33" ht="20" customHeight="1">
      <c r="A33" s="24">
        <f>IF(C33&lt;&gt;"",ROW()-3,"")</f>
        <v/>
      </c>
      <c r="B33" s="25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7" t="n"/>
      <c r="N33" s="28" t="n"/>
      <c r="O33" s="28" t="n"/>
      <c r="P33" s="28">
        <f>IF(AND(Q33="SÍ",N33&lt;&gt;"",O33&lt;&gt;""),N33-O33,"")</f>
        <v/>
      </c>
      <c r="Q33" s="26" t="n"/>
      <c r="R33" s="26" t="n"/>
      <c r="S33" s="26" t="n"/>
      <c r="T33" s="26">
        <f>IF(S33&lt;&gt;"",CHOOSE(WEEKDAY(S33,2),"Lunes","Martes","Miércoles","Jueves","Viernes","Sábado","Domingo"),"")</f>
        <v/>
      </c>
      <c r="U33" s="28">
        <f>IF(AND(P33&lt;&gt;"",R33&gt;0),ROUND(P33/R33,2),"")</f>
        <v/>
      </c>
      <c r="V33" s="25">
        <f>IF(AND(Q33="SÍ",S33&lt;&gt;""),S33,"")</f>
        <v/>
      </c>
      <c r="W33" s="26" t="n"/>
      <c r="X33" s="25">
        <f>IF(V33&lt;&gt;"",V33+7,"")</f>
        <v/>
      </c>
      <c r="Y33" s="26" t="n"/>
      <c r="Z33" s="25">
        <f>IF(X33&lt;&gt;"",X33+7,"")</f>
        <v/>
      </c>
      <c r="AA33" s="26" t="n"/>
      <c r="AB33" s="25">
        <f>IF(Z33&lt;&gt;"",Z33+7,"")</f>
        <v/>
      </c>
      <c r="AC33" s="26" t="n"/>
      <c r="AD33" s="25">
        <f>IF(AB33&lt;&gt;"",AB33+7,"")</f>
        <v/>
      </c>
      <c r="AE33" s="26" t="n"/>
      <c r="AF33" s="25">
        <f>IF(AD33&lt;&gt;"",AD33+7,"")</f>
        <v/>
      </c>
      <c r="AG33" s="26" t="n"/>
      <c r="AH33" s="28">
        <f>IF(U33&lt;&gt;"",(COUNTIF(W33,"PAGADO")+COUNTIF(Y33,"PAGADO")+COUNTIF(AA33,"PAGADO")+COUNTIF(AC33,"PAGADO")+COUNTIF(AE33,"PAGADO")+COUNTIF(AG33,"PAGADO"))*U33,"")</f>
        <v/>
      </c>
      <c r="AI33" s="28">
        <f>IF(AND(P33&lt;&gt;"",AH33&lt;&gt;""),P33-AH33,IF(P33&lt;&gt;"",P33,""))</f>
        <v/>
      </c>
      <c r="AJ33" s="26" t="n"/>
      <c r="AK33" s="26" t="n"/>
      <c r="AL33" s="26" t="n"/>
      <c r="AM33" s="28" t="n"/>
      <c r="AN33" s="29" t="n"/>
    </row>
    <row r="34" ht="20" customHeight="1">
      <c r="A34" s="30">
        <f>IF(C34&lt;&gt;"",ROW()-3,"")</f>
        <v/>
      </c>
      <c r="B34" s="31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3" t="n"/>
      <c r="N34" s="34" t="n"/>
      <c r="O34" s="34" t="n"/>
      <c r="P34" s="34">
        <f>IF(AND(Q34="SÍ",N34&lt;&gt;"",O34&lt;&gt;""),N34-O34,"")</f>
        <v/>
      </c>
      <c r="Q34" s="32" t="n"/>
      <c r="R34" s="32" t="n"/>
      <c r="S34" s="32" t="n"/>
      <c r="T34" s="32">
        <f>IF(S34&lt;&gt;"",CHOOSE(WEEKDAY(S34,2),"Lunes","Martes","Miércoles","Jueves","Viernes","Sábado","Domingo"),"")</f>
        <v/>
      </c>
      <c r="U34" s="34">
        <f>IF(AND(P34&lt;&gt;"",R34&gt;0),ROUND(P34/R34,2),"")</f>
        <v/>
      </c>
      <c r="V34" s="31">
        <f>IF(AND(Q34="SÍ",S34&lt;&gt;""),S34,"")</f>
        <v/>
      </c>
      <c r="W34" s="32" t="n"/>
      <c r="X34" s="31">
        <f>IF(V34&lt;&gt;"",V34+7,"")</f>
        <v/>
      </c>
      <c r="Y34" s="32" t="n"/>
      <c r="Z34" s="31">
        <f>IF(X34&lt;&gt;"",X34+7,"")</f>
        <v/>
      </c>
      <c r="AA34" s="32" t="n"/>
      <c r="AB34" s="31">
        <f>IF(Z34&lt;&gt;"",Z34+7,"")</f>
        <v/>
      </c>
      <c r="AC34" s="32" t="n"/>
      <c r="AD34" s="31">
        <f>IF(AB34&lt;&gt;"",AB34+7,"")</f>
        <v/>
      </c>
      <c r="AE34" s="32" t="n"/>
      <c r="AF34" s="31">
        <f>IF(AD34&lt;&gt;"",AD34+7,"")</f>
        <v/>
      </c>
      <c r="AG34" s="32" t="n"/>
      <c r="AH34" s="34">
        <f>IF(U34&lt;&gt;"",(COUNTIF(W34,"PAGADO")+COUNTIF(Y34,"PAGADO")+COUNTIF(AA34,"PAGADO")+COUNTIF(AC34,"PAGADO")+COUNTIF(AE34,"PAGADO")+COUNTIF(AG34,"PAGADO"))*U34,"")</f>
        <v/>
      </c>
      <c r="AI34" s="34">
        <f>IF(AND(P34&lt;&gt;"",AH34&lt;&gt;""),P34-AH34,IF(P34&lt;&gt;"",P34,""))</f>
        <v/>
      </c>
      <c r="AJ34" s="32" t="n"/>
      <c r="AK34" s="32" t="n"/>
      <c r="AL34" s="32" t="n"/>
      <c r="AM34" s="34" t="n"/>
      <c r="AN34" s="35" t="n"/>
    </row>
    <row r="35" ht="20" customHeight="1">
      <c r="A35" s="24">
        <f>IF(C35&lt;&gt;"",ROW()-3,"")</f>
        <v/>
      </c>
      <c r="B35" s="25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7" t="n"/>
      <c r="N35" s="28" t="n"/>
      <c r="O35" s="28" t="n"/>
      <c r="P35" s="28">
        <f>IF(AND(Q35="SÍ",N35&lt;&gt;"",O35&lt;&gt;""),N35-O35,"")</f>
        <v/>
      </c>
      <c r="Q35" s="26" t="n"/>
      <c r="R35" s="26" t="n"/>
      <c r="S35" s="26" t="n"/>
      <c r="T35" s="26">
        <f>IF(S35&lt;&gt;"",CHOOSE(WEEKDAY(S35,2),"Lunes","Martes","Miércoles","Jueves","Viernes","Sábado","Domingo"),"")</f>
        <v/>
      </c>
      <c r="U35" s="28">
        <f>IF(AND(P35&lt;&gt;"",R35&gt;0),ROUND(P35/R35,2),"")</f>
        <v/>
      </c>
      <c r="V35" s="25">
        <f>IF(AND(Q35="SÍ",S35&lt;&gt;""),S35,"")</f>
        <v/>
      </c>
      <c r="W35" s="26" t="n"/>
      <c r="X35" s="25">
        <f>IF(V35&lt;&gt;"",V35+7,"")</f>
        <v/>
      </c>
      <c r="Y35" s="26" t="n"/>
      <c r="Z35" s="25">
        <f>IF(X35&lt;&gt;"",X35+7,"")</f>
        <v/>
      </c>
      <c r="AA35" s="26" t="n"/>
      <c r="AB35" s="25">
        <f>IF(Z35&lt;&gt;"",Z35+7,"")</f>
        <v/>
      </c>
      <c r="AC35" s="26" t="n"/>
      <c r="AD35" s="25">
        <f>IF(AB35&lt;&gt;"",AB35+7,"")</f>
        <v/>
      </c>
      <c r="AE35" s="26" t="n"/>
      <c r="AF35" s="25">
        <f>IF(AD35&lt;&gt;"",AD35+7,"")</f>
        <v/>
      </c>
      <c r="AG35" s="26" t="n"/>
      <c r="AH35" s="28">
        <f>IF(U35&lt;&gt;"",(COUNTIF(W35,"PAGADO")+COUNTIF(Y35,"PAGADO")+COUNTIF(AA35,"PAGADO")+COUNTIF(AC35,"PAGADO")+COUNTIF(AE35,"PAGADO")+COUNTIF(AG35,"PAGADO"))*U35,"")</f>
        <v/>
      </c>
      <c r="AI35" s="28">
        <f>IF(AND(P35&lt;&gt;"",AH35&lt;&gt;""),P35-AH35,IF(P35&lt;&gt;"",P35,""))</f>
        <v/>
      </c>
      <c r="AJ35" s="26" t="n"/>
      <c r="AK35" s="26" t="n"/>
      <c r="AL35" s="26" t="n"/>
      <c r="AM35" s="28" t="n"/>
      <c r="AN35" s="29" t="n"/>
    </row>
    <row r="36" ht="20" customHeight="1">
      <c r="A36" s="30">
        <f>IF(C36&lt;&gt;"",ROW()-3,"")</f>
        <v/>
      </c>
      <c r="B36" s="31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3" t="n"/>
      <c r="N36" s="34" t="n"/>
      <c r="O36" s="34" t="n"/>
      <c r="P36" s="34">
        <f>IF(AND(Q36="SÍ",N36&lt;&gt;"",O36&lt;&gt;""),N36-O36,"")</f>
        <v/>
      </c>
      <c r="Q36" s="32" t="n"/>
      <c r="R36" s="32" t="n"/>
      <c r="S36" s="32" t="n"/>
      <c r="T36" s="32">
        <f>IF(S36&lt;&gt;"",CHOOSE(WEEKDAY(S36,2),"Lunes","Martes","Miércoles","Jueves","Viernes","Sábado","Domingo"),"")</f>
        <v/>
      </c>
      <c r="U36" s="34">
        <f>IF(AND(P36&lt;&gt;"",R36&gt;0),ROUND(P36/R36,2),"")</f>
        <v/>
      </c>
      <c r="V36" s="31">
        <f>IF(AND(Q36="SÍ",S36&lt;&gt;""),S36,"")</f>
        <v/>
      </c>
      <c r="W36" s="32" t="n"/>
      <c r="X36" s="31">
        <f>IF(V36&lt;&gt;"",V36+7,"")</f>
        <v/>
      </c>
      <c r="Y36" s="32" t="n"/>
      <c r="Z36" s="31">
        <f>IF(X36&lt;&gt;"",X36+7,"")</f>
        <v/>
      </c>
      <c r="AA36" s="32" t="n"/>
      <c r="AB36" s="31">
        <f>IF(Z36&lt;&gt;"",Z36+7,"")</f>
        <v/>
      </c>
      <c r="AC36" s="32" t="n"/>
      <c r="AD36" s="31">
        <f>IF(AB36&lt;&gt;"",AB36+7,"")</f>
        <v/>
      </c>
      <c r="AE36" s="32" t="n"/>
      <c r="AF36" s="31">
        <f>IF(AD36&lt;&gt;"",AD36+7,"")</f>
        <v/>
      </c>
      <c r="AG36" s="32" t="n"/>
      <c r="AH36" s="34">
        <f>IF(U36&lt;&gt;"",(COUNTIF(W36,"PAGADO")+COUNTIF(Y36,"PAGADO")+COUNTIF(AA36,"PAGADO")+COUNTIF(AC36,"PAGADO")+COUNTIF(AE36,"PAGADO")+COUNTIF(AG36,"PAGADO"))*U36,"")</f>
        <v/>
      </c>
      <c r="AI36" s="34">
        <f>IF(AND(P36&lt;&gt;"",AH36&lt;&gt;""),P36-AH36,IF(P36&lt;&gt;"",P36,""))</f>
        <v/>
      </c>
      <c r="AJ36" s="32" t="n"/>
      <c r="AK36" s="32" t="n"/>
      <c r="AL36" s="32" t="n"/>
      <c r="AM36" s="34" t="n"/>
      <c r="AN36" s="35" t="n"/>
    </row>
    <row r="37" ht="20" customHeight="1">
      <c r="A37" s="24">
        <f>IF(C37&lt;&gt;"",ROW()-3,"")</f>
        <v/>
      </c>
      <c r="B37" s="25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7" t="n"/>
      <c r="N37" s="28" t="n"/>
      <c r="O37" s="28" t="n"/>
      <c r="P37" s="28">
        <f>IF(AND(Q37="SÍ",N37&lt;&gt;"",O37&lt;&gt;""),N37-O37,"")</f>
        <v/>
      </c>
      <c r="Q37" s="26" t="n"/>
      <c r="R37" s="26" t="n"/>
      <c r="S37" s="26" t="n"/>
      <c r="T37" s="26">
        <f>IF(S37&lt;&gt;"",CHOOSE(WEEKDAY(S37,2),"Lunes","Martes","Miércoles","Jueves","Viernes","Sábado","Domingo"),"")</f>
        <v/>
      </c>
      <c r="U37" s="28">
        <f>IF(AND(P37&lt;&gt;"",R37&gt;0),ROUND(P37/R37,2),"")</f>
        <v/>
      </c>
      <c r="V37" s="25">
        <f>IF(AND(Q37="SÍ",S37&lt;&gt;""),S37,"")</f>
        <v/>
      </c>
      <c r="W37" s="26" t="n"/>
      <c r="X37" s="25">
        <f>IF(V37&lt;&gt;"",V37+7,"")</f>
        <v/>
      </c>
      <c r="Y37" s="26" t="n"/>
      <c r="Z37" s="25">
        <f>IF(X37&lt;&gt;"",X37+7,"")</f>
        <v/>
      </c>
      <c r="AA37" s="26" t="n"/>
      <c r="AB37" s="25">
        <f>IF(Z37&lt;&gt;"",Z37+7,"")</f>
        <v/>
      </c>
      <c r="AC37" s="26" t="n"/>
      <c r="AD37" s="25">
        <f>IF(AB37&lt;&gt;"",AB37+7,"")</f>
        <v/>
      </c>
      <c r="AE37" s="26" t="n"/>
      <c r="AF37" s="25">
        <f>IF(AD37&lt;&gt;"",AD37+7,"")</f>
        <v/>
      </c>
      <c r="AG37" s="26" t="n"/>
      <c r="AH37" s="28">
        <f>IF(U37&lt;&gt;"",(COUNTIF(W37,"PAGADO")+COUNTIF(Y37,"PAGADO")+COUNTIF(AA37,"PAGADO")+COUNTIF(AC37,"PAGADO")+COUNTIF(AE37,"PAGADO")+COUNTIF(AG37,"PAGADO"))*U37,"")</f>
        <v/>
      </c>
      <c r="AI37" s="28">
        <f>IF(AND(P37&lt;&gt;"",AH37&lt;&gt;""),P37-AH37,IF(P37&lt;&gt;"",P37,""))</f>
        <v/>
      </c>
      <c r="AJ37" s="26" t="n"/>
      <c r="AK37" s="26" t="n"/>
      <c r="AL37" s="26" t="n"/>
      <c r="AM37" s="28" t="n"/>
      <c r="AN37" s="29" t="n"/>
    </row>
    <row r="38" ht="20" customHeight="1">
      <c r="A38" s="30">
        <f>IF(C38&lt;&gt;"",ROW()-3,"")</f>
        <v/>
      </c>
      <c r="B38" s="31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3" t="n"/>
      <c r="N38" s="34" t="n"/>
      <c r="O38" s="34" t="n"/>
      <c r="P38" s="34">
        <f>IF(AND(Q38="SÍ",N38&lt;&gt;"",O38&lt;&gt;""),N38-O38,"")</f>
        <v/>
      </c>
      <c r="Q38" s="32" t="n"/>
      <c r="R38" s="32" t="n"/>
      <c r="S38" s="32" t="n"/>
      <c r="T38" s="32">
        <f>IF(S38&lt;&gt;"",CHOOSE(WEEKDAY(S38,2),"Lunes","Martes","Miércoles","Jueves","Viernes","Sábado","Domingo"),"")</f>
        <v/>
      </c>
      <c r="U38" s="34">
        <f>IF(AND(P38&lt;&gt;"",R38&gt;0),ROUND(P38/R38,2),"")</f>
        <v/>
      </c>
      <c r="V38" s="31">
        <f>IF(AND(Q38="SÍ",S38&lt;&gt;""),S38,"")</f>
        <v/>
      </c>
      <c r="W38" s="32" t="n"/>
      <c r="X38" s="31">
        <f>IF(V38&lt;&gt;"",V38+7,"")</f>
        <v/>
      </c>
      <c r="Y38" s="32" t="n"/>
      <c r="Z38" s="31">
        <f>IF(X38&lt;&gt;"",X38+7,"")</f>
        <v/>
      </c>
      <c r="AA38" s="32" t="n"/>
      <c r="AB38" s="31">
        <f>IF(Z38&lt;&gt;"",Z38+7,"")</f>
        <v/>
      </c>
      <c r="AC38" s="32" t="n"/>
      <c r="AD38" s="31">
        <f>IF(AB38&lt;&gt;"",AB38+7,"")</f>
        <v/>
      </c>
      <c r="AE38" s="32" t="n"/>
      <c r="AF38" s="31">
        <f>IF(AD38&lt;&gt;"",AD38+7,"")</f>
        <v/>
      </c>
      <c r="AG38" s="32" t="n"/>
      <c r="AH38" s="34">
        <f>IF(U38&lt;&gt;"",(COUNTIF(W38,"PAGADO")+COUNTIF(Y38,"PAGADO")+COUNTIF(AA38,"PAGADO")+COUNTIF(AC38,"PAGADO")+COUNTIF(AE38,"PAGADO")+COUNTIF(AG38,"PAGADO"))*U38,"")</f>
        <v/>
      </c>
      <c r="AI38" s="34">
        <f>IF(AND(P38&lt;&gt;"",AH38&lt;&gt;""),P38-AH38,IF(P38&lt;&gt;"",P38,""))</f>
        <v/>
      </c>
      <c r="AJ38" s="32" t="n"/>
      <c r="AK38" s="32" t="n"/>
      <c r="AL38" s="32" t="n"/>
      <c r="AM38" s="34" t="n"/>
      <c r="AN38" s="35" t="n"/>
    </row>
    <row r="39" ht="20" customHeight="1">
      <c r="A39" s="24">
        <f>IF(C39&lt;&gt;"",ROW()-3,"")</f>
        <v/>
      </c>
      <c r="B39" s="25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7" t="n"/>
      <c r="N39" s="28" t="n"/>
      <c r="O39" s="28" t="n"/>
      <c r="P39" s="28">
        <f>IF(AND(Q39="SÍ",N39&lt;&gt;"",O39&lt;&gt;""),N39-O39,"")</f>
        <v/>
      </c>
      <c r="Q39" s="26" t="n"/>
      <c r="R39" s="26" t="n"/>
      <c r="S39" s="26" t="n"/>
      <c r="T39" s="26">
        <f>IF(S39&lt;&gt;"",CHOOSE(WEEKDAY(S39,2),"Lunes","Martes","Miércoles","Jueves","Viernes","Sábado","Domingo"),"")</f>
        <v/>
      </c>
      <c r="U39" s="28">
        <f>IF(AND(P39&lt;&gt;"",R39&gt;0),ROUND(P39/R39,2),"")</f>
        <v/>
      </c>
      <c r="V39" s="25">
        <f>IF(AND(Q39="SÍ",S39&lt;&gt;""),S39,"")</f>
        <v/>
      </c>
      <c r="W39" s="26" t="n"/>
      <c r="X39" s="25">
        <f>IF(V39&lt;&gt;"",V39+7,"")</f>
        <v/>
      </c>
      <c r="Y39" s="26" t="n"/>
      <c r="Z39" s="25">
        <f>IF(X39&lt;&gt;"",X39+7,"")</f>
        <v/>
      </c>
      <c r="AA39" s="26" t="n"/>
      <c r="AB39" s="25">
        <f>IF(Z39&lt;&gt;"",Z39+7,"")</f>
        <v/>
      </c>
      <c r="AC39" s="26" t="n"/>
      <c r="AD39" s="25">
        <f>IF(AB39&lt;&gt;"",AB39+7,"")</f>
        <v/>
      </c>
      <c r="AE39" s="26" t="n"/>
      <c r="AF39" s="25">
        <f>IF(AD39&lt;&gt;"",AD39+7,"")</f>
        <v/>
      </c>
      <c r="AG39" s="26" t="n"/>
      <c r="AH39" s="28">
        <f>IF(U39&lt;&gt;"",(COUNTIF(W39,"PAGADO")+COUNTIF(Y39,"PAGADO")+COUNTIF(AA39,"PAGADO")+COUNTIF(AC39,"PAGADO")+COUNTIF(AE39,"PAGADO")+COUNTIF(AG39,"PAGADO"))*U39,"")</f>
        <v/>
      </c>
      <c r="AI39" s="28">
        <f>IF(AND(P39&lt;&gt;"",AH39&lt;&gt;""),P39-AH39,IF(P39&lt;&gt;"",P39,""))</f>
        <v/>
      </c>
      <c r="AJ39" s="26" t="n"/>
      <c r="AK39" s="26" t="n"/>
      <c r="AL39" s="26" t="n"/>
      <c r="AM39" s="28" t="n"/>
      <c r="AN39" s="29" t="n"/>
    </row>
    <row r="40" ht="20" customHeight="1">
      <c r="A40" s="30">
        <f>IF(C40&lt;&gt;"",ROW()-3,"")</f>
        <v/>
      </c>
      <c r="B40" s="31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3" t="n"/>
      <c r="N40" s="34" t="n"/>
      <c r="O40" s="34" t="n"/>
      <c r="P40" s="34">
        <f>IF(AND(Q40="SÍ",N40&lt;&gt;"",O40&lt;&gt;""),N40-O40,"")</f>
        <v/>
      </c>
      <c r="Q40" s="32" t="n"/>
      <c r="R40" s="32" t="n"/>
      <c r="S40" s="32" t="n"/>
      <c r="T40" s="32">
        <f>IF(S40&lt;&gt;"",CHOOSE(WEEKDAY(S40,2),"Lunes","Martes","Miércoles","Jueves","Viernes","Sábado","Domingo"),"")</f>
        <v/>
      </c>
      <c r="U40" s="34">
        <f>IF(AND(P40&lt;&gt;"",R40&gt;0),ROUND(P40/R40,2),"")</f>
        <v/>
      </c>
      <c r="V40" s="31">
        <f>IF(AND(Q40="SÍ",S40&lt;&gt;""),S40,"")</f>
        <v/>
      </c>
      <c r="W40" s="32" t="n"/>
      <c r="X40" s="31">
        <f>IF(V40&lt;&gt;"",V40+7,"")</f>
        <v/>
      </c>
      <c r="Y40" s="32" t="n"/>
      <c r="Z40" s="31">
        <f>IF(X40&lt;&gt;"",X40+7,"")</f>
        <v/>
      </c>
      <c r="AA40" s="32" t="n"/>
      <c r="AB40" s="31">
        <f>IF(Z40&lt;&gt;"",Z40+7,"")</f>
        <v/>
      </c>
      <c r="AC40" s="32" t="n"/>
      <c r="AD40" s="31">
        <f>IF(AB40&lt;&gt;"",AB40+7,"")</f>
        <v/>
      </c>
      <c r="AE40" s="32" t="n"/>
      <c r="AF40" s="31">
        <f>IF(AD40&lt;&gt;"",AD40+7,"")</f>
        <v/>
      </c>
      <c r="AG40" s="32" t="n"/>
      <c r="AH40" s="34">
        <f>IF(U40&lt;&gt;"",(COUNTIF(W40,"PAGADO")+COUNTIF(Y40,"PAGADO")+COUNTIF(AA40,"PAGADO")+COUNTIF(AC40,"PAGADO")+COUNTIF(AE40,"PAGADO")+COUNTIF(AG40,"PAGADO"))*U40,"")</f>
        <v/>
      </c>
      <c r="AI40" s="34">
        <f>IF(AND(P40&lt;&gt;"",AH40&lt;&gt;""),P40-AH40,IF(P40&lt;&gt;"",P40,""))</f>
        <v/>
      </c>
      <c r="AJ40" s="32" t="n"/>
      <c r="AK40" s="32" t="n"/>
      <c r="AL40" s="32" t="n"/>
      <c r="AM40" s="34" t="n"/>
      <c r="AN40" s="35" t="n"/>
    </row>
    <row r="41" ht="20" customHeight="1">
      <c r="A41" s="24">
        <f>IF(C41&lt;&gt;"",ROW()-3,"")</f>
        <v/>
      </c>
      <c r="B41" s="25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7" t="n"/>
      <c r="N41" s="28" t="n"/>
      <c r="O41" s="28" t="n"/>
      <c r="P41" s="28">
        <f>IF(AND(Q41="SÍ",N41&lt;&gt;"",O41&lt;&gt;""),N41-O41,"")</f>
        <v/>
      </c>
      <c r="Q41" s="26" t="n"/>
      <c r="R41" s="26" t="n"/>
      <c r="S41" s="26" t="n"/>
      <c r="T41" s="26">
        <f>IF(S41&lt;&gt;"",CHOOSE(WEEKDAY(S41,2),"Lunes","Martes","Miércoles","Jueves","Viernes","Sábado","Domingo"),"")</f>
        <v/>
      </c>
      <c r="U41" s="28">
        <f>IF(AND(P41&lt;&gt;"",R41&gt;0),ROUND(P41/R41,2),"")</f>
        <v/>
      </c>
      <c r="V41" s="25">
        <f>IF(AND(Q41="SÍ",S41&lt;&gt;""),S41,"")</f>
        <v/>
      </c>
      <c r="W41" s="26" t="n"/>
      <c r="X41" s="25">
        <f>IF(V41&lt;&gt;"",V41+7,"")</f>
        <v/>
      </c>
      <c r="Y41" s="26" t="n"/>
      <c r="Z41" s="25">
        <f>IF(X41&lt;&gt;"",X41+7,"")</f>
        <v/>
      </c>
      <c r="AA41" s="26" t="n"/>
      <c r="AB41" s="25">
        <f>IF(Z41&lt;&gt;"",Z41+7,"")</f>
        <v/>
      </c>
      <c r="AC41" s="26" t="n"/>
      <c r="AD41" s="25">
        <f>IF(AB41&lt;&gt;"",AB41+7,"")</f>
        <v/>
      </c>
      <c r="AE41" s="26" t="n"/>
      <c r="AF41" s="25">
        <f>IF(AD41&lt;&gt;"",AD41+7,"")</f>
        <v/>
      </c>
      <c r="AG41" s="26" t="n"/>
      <c r="AH41" s="28">
        <f>IF(U41&lt;&gt;"",(COUNTIF(W41,"PAGADO")+COUNTIF(Y41,"PAGADO")+COUNTIF(AA41,"PAGADO")+COUNTIF(AC41,"PAGADO")+COUNTIF(AE41,"PAGADO")+COUNTIF(AG41,"PAGADO"))*U41,"")</f>
        <v/>
      </c>
      <c r="AI41" s="28">
        <f>IF(AND(P41&lt;&gt;"",AH41&lt;&gt;""),P41-AH41,IF(P41&lt;&gt;"",P41,""))</f>
        <v/>
      </c>
      <c r="AJ41" s="26" t="n"/>
      <c r="AK41" s="26" t="n"/>
      <c r="AL41" s="26" t="n"/>
      <c r="AM41" s="28" t="n"/>
      <c r="AN41" s="29" t="n"/>
    </row>
    <row r="42" ht="20" customHeight="1">
      <c r="A42" s="30">
        <f>IF(C42&lt;&gt;"",ROW()-3,"")</f>
        <v/>
      </c>
      <c r="B42" s="31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3" t="n"/>
      <c r="N42" s="34" t="n"/>
      <c r="O42" s="34" t="n"/>
      <c r="P42" s="34">
        <f>IF(AND(Q42="SÍ",N42&lt;&gt;"",O42&lt;&gt;""),N42-O42,"")</f>
        <v/>
      </c>
      <c r="Q42" s="32" t="n"/>
      <c r="R42" s="32" t="n"/>
      <c r="S42" s="32" t="n"/>
      <c r="T42" s="32">
        <f>IF(S42&lt;&gt;"",CHOOSE(WEEKDAY(S42,2),"Lunes","Martes","Miércoles","Jueves","Viernes","Sábado","Domingo"),"")</f>
        <v/>
      </c>
      <c r="U42" s="34">
        <f>IF(AND(P42&lt;&gt;"",R42&gt;0),ROUND(P42/R42,2),"")</f>
        <v/>
      </c>
      <c r="V42" s="31">
        <f>IF(AND(Q42="SÍ",S42&lt;&gt;""),S42,"")</f>
        <v/>
      </c>
      <c r="W42" s="32" t="n"/>
      <c r="X42" s="31">
        <f>IF(V42&lt;&gt;"",V42+7,"")</f>
        <v/>
      </c>
      <c r="Y42" s="32" t="n"/>
      <c r="Z42" s="31">
        <f>IF(X42&lt;&gt;"",X42+7,"")</f>
        <v/>
      </c>
      <c r="AA42" s="32" t="n"/>
      <c r="AB42" s="31">
        <f>IF(Z42&lt;&gt;"",Z42+7,"")</f>
        <v/>
      </c>
      <c r="AC42" s="32" t="n"/>
      <c r="AD42" s="31">
        <f>IF(AB42&lt;&gt;"",AB42+7,"")</f>
        <v/>
      </c>
      <c r="AE42" s="32" t="n"/>
      <c r="AF42" s="31">
        <f>IF(AD42&lt;&gt;"",AD42+7,"")</f>
        <v/>
      </c>
      <c r="AG42" s="32" t="n"/>
      <c r="AH42" s="34">
        <f>IF(U42&lt;&gt;"",(COUNTIF(W42,"PAGADO")+COUNTIF(Y42,"PAGADO")+COUNTIF(AA42,"PAGADO")+COUNTIF(AC42,"PAGADO")+COUNTIF(AE42,"PAGADO")+COUNTIF(AG42,"PAGADO"))*U42,"")</f>
        <v/>
      </c>
      <c r="AI42" s="34">
        <f>IF(AND(P42&lt;&gt;"",AH42&lt;&gt;""),P42-AH42,IF(P42&lt;&gt;"",P42,""))</f>
        <v/>
      </c>
      <c r="AJ42" s="32" t="n"/>
      <c r="AK42" s="32" t="n"/>
      <c r="AL42" s="32" t="n"/>
      <c r="AM42" s="34" t="n"/>
      <c r="AN42" s="35" t="n"/>
    </row>
    <row r="43" ht="20" customHeight="1">
      <c r="A43" s="24">
        <f>IF(C43&lt;&gt;"",ROW()-3,"")</f>
        <v/>
      </c>
      <c r="B43" s="25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7" t="n"/>
      <c r="N43" s="28" t="n"/>
      <c r="O43" s="28" t="n"/>
      <c r="P43" s="28">
        <f>IF(AND(Q43="SÍ",N43&lt;&gt;"",O43&lt;&gt;""),N43-O43,"")</f>
        <v/>
      </c>
      <c r="Q43" s="26" t="n"/>
      <c r="R43" s="26" t="n"/>
      <c r="S43" s="26" t="n"/>
      <c r="T43" s="26">
        <f>IF(S43&lt;&gt;"",CHOOSE(WEEKDAY(S43,2),"Lunes","Martes","Miércoles","Jueves","Viernes","Sábado","Domingo"),"")</f>
        <v/>
      </c>
      <c r="U43" s="28">
        <f>IF(AND(P43&lt;&gt;"",R43&gt;0),ROUND(P43/R43,2),"")</f>
        <v/>
      </c>
      <c r="V43" s="25">
        <f>IF(AND(Q43="SÍ",S43&lt;&gt;""),S43,"")</f>
        <v/>
      </c>
      <c r="W43" s="26" t="n"/>
      <c r="X43" s="25">
        <f>IF(V43&lt;&gt;"",V43+7,"")</f>
        <v/>
      </c>
      <c r="Y43" s="26" t="n"/>
      <c r="Z43" s="25">
        <f>IF(X43&lt;&gt;"",X43+7,"")</f>
        <v/>
      </c>
      <c r="AA43" s="26" t="n"/>
      <c r="AB43" s="25">
        <f>IF(Z43&lt;&gt;"",Z43+7,"")</f>
        <v/>
      </c>
      <c r="AC43" s="26" t="n"/>
      <c r="AD43" s="25">
        <f>IF(AB43&lt;&gt;"",AB43+7,"")</f>
        <v/>
      </c>
      <c r="AE43" s="26" t="n"/>
      <c r="AF43" s="25">
        <f>IF(AD43&lt;&gt;"",AD43+7,"")</f>
        <v/>
      </c>
      <c r="AG43" s="26" t="n"/>
      <c r="AH43" s="28">
        <f>IF(U43&lt;&gt;"",(COUNTIF(W43,"PAGADO")+COUNTIF(Y43,"PAGADO")+COUNTIF(AA43,"PAGADO")+COUNTIF(AC43,"PAGADO")+COUNTIF(AE43,"PAGADO")+COUNTIF(AG43,"PAGADO"))*U43,"")</f>
        <v/>
      </c>
      <c r="AI43" s="28">
        <f>IF(AND(P43&lt;&gt;"",AH43&lt;&gt;""),P43-AH43,IF(P43&lt;&gt;"",P43,""))</f>
        <v/>
      </c>
      <c r="AJ43" s="26" t="n"/>
      <c r="AK43" s="26" t="n"/>
      <c r="AL43" s="26" t="n"/>
      <c r="AM43" s="28" t="n"/>
      <c r="AN43" s="29" t="n"/>
    </row>
    <row r="44" ht="20" customHeight="1">
      <c r="A44" s="30">
        <f>IF(C44&lt;&gt;"",ROW()-3,"")</f>
        <v/>
      </c>
      <c r="B44" s="31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 t="n"/>
      <c r="N44" s="34" t="n"/>
      <c r="O44" s="34" t="n"/>
      <c r="P44" s="34">
        <f>IF(AND(Q44="SÍ",N44&lt;&gt;"",O44&lt;&gt;""),N44-O44,"")</f>
        <v/>
      </c>
      <c r="Q44" s="32" t="n"/>
      <c r="R44" s="32" t="n"/>
      <c r="S44" s="32" t="n"/>
      <c r="T44" s="32">
        <f>IF(S44&lt;&gt;"",CHOOSE(WEEKDAY(S44,2),"Lunes","Martes","Miércoles","Jueves","Viernes","Sábado","Domingo"),"")</f>
        <v/>
      </c>
      <c r="U44" s="34">
        <f>IF(AND(P44&lt;&gt;"",R44&gt;0),ROUND(P44/R44,2),"")</f>
        <v/>
      </c>
      <c r="V44" s="31">
        <f>IF(AND(Q44="SÍ",S44&lt;&gt;""),S44,"")</f>
        <v/>
      </c>
      <c r="W44" s="32" t="n"/>
      <c r="X44" s="31">
        <f>IF(V44&lt;&gt;"",V44+7,"")</f>
        <v/>
      </c>
      <c r="Y44" s="32" t="n"/>
      <c r="Z44" s="31">
        <f>IF(X44&lt;&gt;"",X44+7,"")</f>
        <v/>
      </c>
      <c r="AA44" s="32" t="n"/>
      <c r="AB44" s="31">
        <f>IF(Z44&lt;&gt;"",Z44+7,"")</f>
        <v/>
      </c>
      <c r="AC44" s="32" t="n"/>
      <c r="AD44" s="31">
        <f>IF(AB44&lt;&gt;"",AB44+7,"")</f>
        <v/>
      </c>
      <c r="AE44" s="32" t="n"/>
      <c r="AF44" s="31">
        <f>IF(AD44&lt;&gt;"",AD44+7,"")</f>
        <v/>
      </c>
      <c r="AG44" s="32" t="n"/>
      <c r="AH44" s="34">
        <f>IF(U44&lt;&gt;"",(COUNTIF(W44,"PAGADO")+COUNTIF(Y44,"PAGADO")+COUNTIF(AA44,"PAGADO")+COUNTIF(AC44,"PAGADO")+COUNTIF(AE44,"PAGADO")+COUNTIF(AG44,"PAGADO"))*U44,"")</f>
        <v/>
      </c>
      <c r="AI44" s="34">
        <f>IF(AND(P44&lt;&gt;"",AH44&lt;&gt;""),P44-AH44,IF(P44&lt;&gt;"",P44,""))</f>
        <v/>
      </c>
      <c r="AJ44" s="32" t="n"/>
      <c r="AK44" s="32" t="n"/>
      <c r="AL44" s="32" t="n"/>
      <c r="AM44" s="34" t="n"/>
      <c r="AN44" s="35" t="n"/>
    </row>
    <row r="45" ht="20" customHeight="1">
      <c r="A45" s="24">
        <f>IF(C45&lt;&gt;"",ROW()-3,"")</f>
        <v/>
      </c>
      <c r="B45" s="25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7" t="n"/>
      <c r="N45" s="28" t="n"/>
      <c r="O45" s="28" t="n"/>
      <c r="P45" s="28">
        <f>IF(AND(Q45="SÍ",N45&lt;&gt;"",O45&lt;&gt;""),N45-O45,"")</f>
        <v/>
      </c>
      <c r="Q45" s="26" t="n"/>
      <c r="R45" s="26" t="n"/>
      <c r="S45" s="26" t="n"/>
      <c r="T45" s="26">
        <f>IF(S45&lt;&gt;"",CHOOSE(WEEKDAY(S45,2),"Lunes","Martes","Miércoles","Jueves","Viernes","Sábado","Domingo"),"")</f>
        <v/>
      </c>
      <c r="U45" s="28">
        <f>IF(AND(P45&lt;&gt;"",R45&gt;0),ROUND(P45/R45,2),"")</f>
        <v/>
      </c>
      <c r="V45" s="25">
        <f>IF(AND(Q45="SÍ",S45&lt;&gt;""),S45,"")</f>
        <v/>
      </c>
      <c r="W45" s="26" t="n"/>
      <c r="X45" s="25">
        <f>IF(V45&lt;&gt;"",V45+7,"")</f>
        <v/>
      </c>
      <c r="Y45" s="26" t="n"/>
      <c r="Z45" s="25">
        <f>IF(X45&lt;&gt;"",X45+7,"")</f>
        <v/>
      </c>
      <c r="AA45" s="26" t="n"/>
      <c r="AB45" s="25">
        <f>IF(Z45&lt;&gt;"",Z45+7,"")</f>
        <v/>
      </c>
      <c r="AC45" s="26" t="n"/>
      <c r="AD45" s="25">
        <f>IF(AB45&lt;&gt;"",AB45+7,"")</f>
        <v/>
      </c>
      <c r="AE45" s="26" t="n"/>
      <c r="AF45" s="25">
        <f>IF(AD45&lt;&gt;"",AD45+7,"")</f>
        <v/>
      </c>
      <c r="AG45" s="26" t="n"/>
      <c r="AH45" s="28">
        <f>IF(U45&lt;&gt;"",(COUNTIF(W45,"PAGADO")+COUNTIF(Y45,"PAGADO")+COUNTIF(AA45,"PAGADO")+COUNTIF(AC45,"PAGADO")+COUNTIF(AE45,"PAGADO")+COUNTIF(AG45,"PAGADO"))*U45,"")</f>
        <v/>
      </c>
      <c r="AI45" s="28">
        <f>IF(AND(P45&lt;&gt;"",AH45&lt;&gt;""),P45-AH45,IF(P45&lt;&gt;"",P45,""))</f>
        <v/>
      </c>
      <c r="AJ45" s="26" t="n"/>
      <c r="AK45" s="26" t="n"/>
      <c r="AL45" s="26" t="n"/>
      <c r="AM45" s="28" t="n"/>
      <c r="AN45" s="29" t="n"/>
    </row>
    <row r="46" ht="20" customHeight="1">
      <c r="A46" s="30">
        <f>IF(C46&lt;&gt;"",ROW()-3,"")</f>
        <v/>
      </c>
      <c r="B46" s="31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3" t="n"/>
      <c r="N46" s="34" t="n"/>
      <c r="O46" s="34" t="n"/>
      <c r="P46" s="34">
        <f>IF(AND(Q46="SÍ",N46&lt;&gt;"",O46&lt;&gt;""),N46-O46,"")</f>
        <v/>
      </c>
      <c r="Q46" s="32" t="n"/>
      <c r="R46" s="32" t="n"/>
      <c r="S46" s="32" t="n"/>
      <c r="T46" s="32">
        <f>IF(S46&lt;&gt;"",CHOOSE(WEEKDAY(S46,2),"Lunes","Martes","Miércoles","Jueves","Viernes","Sábado","Domingo"),"")</f>
        <v/>
      </c>
      <c r="U46" s="34">
        <f>IF(AND(P46&lt;&gt;"",R46&gt;0),ROUND(P46/R46,2),"")</f>
        <v/>
      </c>
      <c r="V46" s="31">
        <f>IF(AND(Q46="SÍ",S46&lt;&gt;""),S46,"")</f>
        <v/>
      </c>
      <c r="W46" s="32" t="n"/>
      <c r="X46" s="31">
        <f>IF(V46&lt;&gt;"",V46+7,"")</f>
        <v/>
      </c>
      <c r="Y46" s="32" t="n"/>
      <c r="Z46" s="31">
        <f>IF(X46&lt;&gt;"",X46+7,"")</f>
        <v/>
      </c>
      <c r="AA46" s="32" t="n"/>
      <c r="AB46" s="31">
        <f>IF(Z46&lt;&gt;"",Z46+7,"")</f>
        <v/>
      </c>
      <c r="AC46" s="32" t="n"/>
      <c r="AD46" s="31">
        <f>IF(AB46&lt;&gt;"",AB46+7,"")</f>
        <v/>
      </c>
      <c r="AE46" s="32" t="n"/>
      <c r="AF46" s="31">
        <f>IF(AD46&lt;&gt;"",AD46+7,"")</f>
        <v/>
      </c>
      <c r="AG46" s="32" t="n"/>
      <c r="AH46" s="34">
        <f>IF(U46&lt;&gt;"",(COUNTIF(W46,"PAGADO")+COUNTIF(Y46,"PAGADO")+COUNTIF(AA46,"PAGADO")+COUNTIF(AC46,"PAGADO")+COUNTIF(AE46,"PAGADO")+COUNTIF(AG46,"PAGADO"))*U46,"")</f>
        <v/>
      </c>
      <c r="AI46" s="34">
        <f>IF(AND(P46&lt;&gt;"",AH46&lt;&gt;""),P46-AH46,IF(P46&lt;&gt;"",P46,""))</f>
        <v/>
      </c>
      <c r="AJ46" s="32" t="n"/>
      <c r="AK46" s="32" t="n"/>
      <c r="AL46" s="32" t="n"/>
      <c r="AM46" s="34" t="n"/>
      <c r="AN46" s="35" t="n"/>
    </row>
    <row r="47" ht="20" customHeight="1">
      <c r="A47" s="24">
        <f>IF(C47&lt;&gt;"",ROW()-3,"")</f>
        <v/>
      </c>
      <c r="B47" s="25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7" t="n"/>
      <c r="N47" s="28" t="n"/>
      <c r="O47" s="28" t="n"/>
      <c r="P47" s="28">
        <f>IF(AND(Q47="SÍ",N47&lt;&gt;"",O47&lt;&gt;""),N47-O47,"")</f>
        <v/>
      </c>
      <c r="Q47" s="26" t="n"/>
      <c r="R47" s="26" t="n"/>
      <c r="S47" s="26" t="n"/>
      <c r="T47" s="26">
        <f>IF(S47&lt;&gt;"",CHOOSE(WEEKDAY(S47,2),"Lunes","Martes","Miércoles","Jueves","Viernes","Sábado","Domingo"),"")</f>
        <v/>
      </c>
      <c r="U47" s="28">
        <f>IF(AND(P47&lt;&gt;"",R47&gt;0),ROUND(P47/R47,2),"")</f>
        <v/>
      </c>
      <c r="V47" s="25">
        <f>IF(AND(Q47="SÍ",S47&lt;&gt;""),S47,"")</f>
        <v/>
      </c>
      <c r="W47" s="26" t="n"/>
      <c r="X47" s="25">
        <f>IF(V47&lt;&gt;"",V47+7,"")</f>
        <v/>
      </c>
      <c r="Y47" s="26" t="n"/>
      <c r="Z47" s="25">
        <f>IF(X47&lt;&gt;"",X47+7,"")</f>
        <v/>
      </c>
      <c r="AA47" s="26" t="n"/>
      <c r="AB47" s="25">
        <f>IF(Z47&lt;&gt;"",Z47+7,"")</f>
        <v/>
      </c>
      <c r="AC47" s="26" t="n"/>
      <c r="AD47" s="25">
        <f>IF(AB47&lt;&gt;"",AB47+7,"")</f>
        <v/>
      </c>
      <c r="AE47" s="26" t="n"/>
      <c r="AF47" s="25">
        <f>IF(AD47&lt;&gt;"",AD47+7,"")</f>
        <v/>
      </c>
      <c r="AG47" s="26" t="n"/>
      <c r="AH47" s="28">
        <f>IF(U47&lt;&gt;"",(COUNTIF(W47,"PAGADO")+COUNTIF(Y47,"PAGADO")+COUNTIF(AA47,"PAGADO")+COUNTIF(AC47,"PAGADO")+COUNTIF(AE47,"PAGADO")+COUNTIF(AG47,"PAGADO"))*U47,"")</f>
        <v/>
      </c>
      <c r="AI47" s="28">
        <f>IF(AND(P47&lt;&gt;"",AH47&lt;&gt;""),P47-AH47,IF(P47&lt;&gt;"",P47,""))</f>
        <v/>
      </c>
      <c r="AJ47" s="26" t="n"/>
      <c r="AK47" s="26" t="n"/>
      <c r="AL47" s="26" t="n"/>
      <c r="AM47" s="28" t="n"/>
      <c r="AN47" s="29" t="n"/>
    </row>
    <row r="48" ht="20" customHeight="1">
      <c r="A48" s="30">
        <f>IF(C48&lt;&gt;"",ROW()-3,"")</f>
        <v/>
      </c>
      <c r="B48" s="31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3" t="n"/>
      <c r="N48" s="34" t="n"/>
      <c r="O48" s="34" t="n"/>
      <c r="P48" s="34">
        <f>IF(AND(Q48="SÍ",N48&lt;&gt;"",O48&lt;&gt;""),N48-O48,"")</f>
        <v/>
      </c>
      <c r="Q48" s="32" t="n"/>
      <c r="R48" s="32" t="n"/>
      <c r="S48" s="32" t="n"/>
      <c r="T48" s="32">
        <f>IF(S48&lt;&gt;"",CHOOSE(WEEKDAY(S48,2),"Lunes","Martes","Miércoles","Jueves","Viernes","Sábado","Domingo"),"")</f>
        <v/>
      </c>
      <c r="U48" s="34">
        <f>IF(AND(P48&lt;&gt;"",R48&gt;0),ROUND(P48/R48,2),"")</f>
        <v/>
      </c>
      <c r="V48" s="31">
        <f>IF(AND(Q48="SÍ",S48&lt;&gt;""),S48,"")</f>
        <v/>
      </c>
      <c r="W48" s="32" t="n"/>
      <c r="X48" s="31">
        <f>IF(V48&lt;&gt;"",V48+7,"")</f>
        <v/>
      </c>
      <c r="Y48" s="32" t="n"/>
      <c r="Z48" s="31">
        <f>IF(X48&lt;&gt;"",X48+7,"")</f>
        <v/>
      </c>
      <c r="AA48" s="32" t="n"/>
      <c r="AB48" s="31">
        <f>IF(Z48&lt;&gt;"",Z48+7,"")</f>
        <v/>
      </c>
      <c r="AC48" s="32" t="n"/>
      <c r="AD48" s="31">
        <f>IF(AB48&lt;&gt;"",AB48+7,"")</f>
        <v/>
      </c>
      <c r="AE48" s="32" t="n"/>
      <c r="AF48" s="31">
        <f>IF(AD48&lt;&gt;"",AD48+7,"")</f>
        <v/>
      </c>
      <c r="AG48" s="32" t="n"/>
      <c r="AH48" s="34">
        <f>IF(U48&lt;&gt;"",(COUNTIF(W48,"PAGADO")+COUNTIF(Y48,"PAGADO")+COUNTIF(AA48,"PAGADO")+COUNTIF(AC48,"PAGADO")+COUNTIF(AE48,"PAGADO")+COUNTIF(AG48,"PAGADO"))*U48,"")</f>
        <v/>
      </c>
      <c r="AI48" s="34">
        <f>IF(AND(P48&lt;&gt;"",AH48&lt;&gt;""),P48-AH48,IF(P48&lt;&gt;"",P48,""))</f>
        <v/>
      </c>
      <c r="AJ48" s="32" t="n"/>
      <c r="AK48" s="32" t="n"/>
      <c r="AL48" s="32" t="n"/>
      <c r="AM48" s="34" t="n"/>
      <c r="AN48" s="35" t="n"/>
    </row>
    <row r="49" ht="20" customHeight="1">
      <c r="A49" s="24">
        <f>IF(C49&lt;&gt;"",ROW()-3,"")</f>
        <v/>
      </c>
      <c r="B49" s="25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7" t="n"/>
      <c r="N49" s="28" t="n"/>
      <c r="O49" s="28" t="n"/>
      <c r="P49" s="28">
        <f>IF(AND(Q49="SÍ",N49&lt;&gt;"",O49&lt;&gt;""),N49-O49,"")</f>
        <v/>
      </c>
      <c r="Q49" s="26" t="n"/>
      <c r="R49" s="26" t="n"/>
      <c r="S49" s="26" t="n"/>
      <c r="T49" s="26">
        <f>IF(S49&lt;&gt;"",CHOOSE(WEEKDAY(S49,2),"Lunes","Martes","Miércoles","Jueves","Viernes","Sábado","Domingo"),"")</f>
        <v/>
      </c>
      <c r="U49" s="28">
        <f>IF(AND(P49&lt;&gt;"",R49&gt;0),ROUND(P49/R49,2),"")</f>
        <v/>
      </c>
      <c r="V49" s="25">
        <f>IF(AND(Q49="SÍ",S49&lt;&gt;""),S49,"")</f>
        <v/>
      </c>
      <c r="W49" s="26" t="n"/>
      <c r="X49" s="25">
        <f>IF(V49&lt;&gt;"",V49+7,"")</f>
        <v/>
      </c>
      <c r="Y49" s="26" t="n"/>
      <c r="Z49" s="25">
        <f>IF(X49&lt;&gt;"",X49+7,"")</f>
        <v/>
      </c>
      <c r="AA49" s="26" t="n"/>
      <c r="AB49" s="25">
        <f>IF(Z49&lt;&gt;"",Z49+7,"")</f>
        <v/>
      </c>
      <c r="AC49" s="26" t="n"/>
      <c r="AD49" s="25">
        <f>IF(AB49&lt;&gt;"",AB49+7,"")</f>
        <v/>
      </c>
      <c r="AE49" s="26" t="n"/>
      <c r="AF49" s="25">
        <f>IF(AD49&lt;&gt;"",AD49+7,"")</f>
        <v/>
      </c>
      <c r="AG49" s="26" t="n"/>
      <c r="AH49" s="28">
        <f>IF(U49&lt;&gt;"",(COUNTIF(W49,"PAGADO")+COUNTIF(Y49,"PAGADO")+COUNTIF(AA49,"PAGADO")+COUNTIF(AC49,"PAGADO")+COUNTIF(AE49,"PAGADO")+COUNTIF(AG49,"PAGADO"))*U49,"")</f>
        <v/>
      </c>
      <c r="AI49" s="28">
        <f>IF(AND(P49&lt;&gt;"",AH49&lt;&gt;""),P49-AH49,IF(P49&lt;&gt;"",P49,""))</f>
        <v/>
      </c>
      <c r="AJ49" s="26" t="n"/>
      <c r="AK49" s="26" t="n"/>
      <c r="AL49" s="26" t="n"/>
      <c r="AM49" s="28" t="n"/>
      <c r="AN49" s="29" t="n"/>
    </row>
    <row r="50" ht="20" customHeight="1">
      <c r="A50" s="30">
        <f>IF(C50&lt;&gt;"",ROW()-3,"")</f>
        <v/>
      </c>
      <c r="B50" s="31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 t="n"/>
      <c r="N50" s="34" t="n"/>
      <c r="O50" s="34" t="n"/>
      <c r="P50" s="34">
        <f>IF(AND(Q50="SÍ",N50&lt;&gt;"",O50&lt;&gt;""),N50-O50,"")</f>
        <v/>
      </c>
      <c r="Q50" s="32" t="n"/>
      <c r="R50" s="32" t="n"/>
      <c r="S50" s="32" t="n"/>
      <c r="T50" s="32">
        <f>IF(S50&lt;&gt;"",CHOOSE(WEEKDAY(S50,2),"Lunes","Martes","Miércoles","Jueves","Viernes","Sábado","Domingo"),"")</f>
        <v/>
      </c>
      <c r="U50" s="34">
        <f>IF(AND(P50&lt;&gt;"",R50&gt;0),ROUND(P50/R50,2),"")</f>
        <v/>
      </c>
      <c r="V50" s="31">
        <f>IF(AND(Q50="SÍ",S50&lt;&gt;""),S50,"")</f>
        <v/>
      </c>
      <c r="W50" s="32" t="n"/>
      <c r="X50" s="31">
        <f>IF(V50&lt;&gt;"",V50+7,"")</f>
        <v/>
      </c>
      <c r="Y50" s="32" t="n"/>
      <c r="Z50" s="31">
        <f>IF(X50&lt;&gt;"",X50+7,"")</f>
        <v/>
      </c>
      <c r="AA50" s="32" t="n"/>
      <c r="AB50" s="31">
        <f>IF(Z50&lt;&gt;"",Z50+7,"")</f>
        <v/>
      </c>
      <c r="AC50" s="32" t="n"/>
      <c r="AD50" s="31">
        <f>IF(AB50&lt;&gt;"",AB50+7,"")</f>
        <v/>
      </c>
      <c r="AE50" s="32" t="n"/>
      <c r="AF50" s="31">
        <f>IF(AD50&lt;&gt;"",AD50+7,"")</f>
        <v/>
      </c>
      <c r="AG50" s="32" t="n"/>
      <c r="AH50" s="34">
        <f>IF(U50&lt;&gt;"",(COUNTIF(W50,"PAGADO")+COUNTIF(Y50,"PAGADO")+COUNTIF(AA50,"PAGADO")+COUNTIF(AC50,"PAGADO")+COUNTIF(AE50,"PAGADO")+COUNTIF(AG50,"PAGADO"))*U50,"")</f>
        <v/>
      </c>
      <c r="AI50" s="34">
        <f>IF(AND(P50&lt;&gt;"",AH50&lt;&gt;""),P50-AH50,IF(P50&lt;&gt;"",P50,""))</f>
        <v/>
      </c>
      <c r="AJ50" s="32" t="n"/>
      <c r="AK50" s="32" t="n"/>
      <c r="AL50" s="32" t="n"/>
      <c r="AM50" s="34" t="n"/>
      <c r="AN50" s="35" t="n"/>
    </row>
    <row r="51" ht="20" customHeight="1">
      <c r="A51" s="24">
        <f>IF(C51&lt;&gt;"",ROW()-3,"")</f>
        <v/>
      </c>
      <c r="B51" s="25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7" t="n"/>
      <c r="N51" s="28" t="n"/>
      <c r="O51" s="28" t="n"/>
      <c r="P51" s="28">
        <f>IF(AND(Q51="SÍ",N51&lt;&gt;"",O51&lt;&gt;""),N51-O51,"")</f>
        <v/>
      </c>
      <c r="Q51" s="26" t="n"/>
      <c r="R51" s="26" t="n"/>
      <c r="S51" s="26" t="n"/>
      <c r="T51" s="26">
        <f>IF(S51&lt;&gt;"",CHOOSE(WEEKDAY(S51,2),"Lunes","Martes","Miércoles","Jueves","Viernes","Sábado","Domingo"),"")</f>
        <v/>
      </c>
      <c r="U51" s="28">
        <f>IF(AND(P51&lt;&gt;"",R51&gt;0),ROUND(P51/R51,2),"")</f>
        <v/>
      </c>
      <c r="V51" s="25">
        <f>IF(AND(Q51="SÍ",S51&lt;&gt;""),S51,"")</f>
        <v/>
      </c>
      <c r="W51" s="26" t="n"/>
      <c r="X51" s="25">
        <f>IF(V51&lt;&gt;"",V51+7,"")</f>
        <v/>
      </c>
      <c r="Y51" s="26" t="n"/>
      <c r="Z51" s="25">
        <f>IF(X51&lt;&gt;"",X51+7,"")</f>
        <v/>
      </c>
      <c r="AA51" s="26" t="n"/>
      <c r="AB51" s="25">
        <f>IF(Z51&lt;&gt;"",Z51+7,"")</f>
        <v/>
      </c>
      <c r="AC51" s="26" t="n"/>
      <c r="AD51" s="25">
        <f>IF(AB51&lt;&gt;"",AB51+7,"")</f>
        <v/>
      </c>
      <c r="AE51" s="26" t="n"/>
      <c r="AF51" s="25">
        <f>IF(AD51&lt;&gt;"",AD51+7,"")</f>
        <v/>
      </c>
      <c r="AG51" s="26" t="n"/>
      <c r="AH51" s="28">
        <f>IF(U51&lt;&gt;"",(COUNTIF(W51,"PAGADO")+COUNTIF(Y51,"PAGADO")+COUNTIF(AA51,"PAGADO")+COUNTIF(AC51,"PAGADO")+COUNTIF(AE51,"PAGADO")+COUNTIF(AG51,"PAGADO"))*U51,"")</f>
        <v/>
      </c>
      <c r="AI51" s="28">
        <f>IF(AND(P51&lt;&gt;"",AH51&lt;&gt;""),P51-AH51,IF(P51&lt;&gt;"",P51,""))</f>
        <v/>
      </c>
      <c r="AJ51" s="26" t="n"/>
      <c r="AK51" s="26" t="n"/>
      <c r="AL51" s="26" t="n"/>
      <c r="AM51" s="28" t="n"/>
      <c r="AN51" s="29" t="n"/>
    </row>
    <row r="52" ht="20" customHeight="1">
      <c r="A52" s="30">
        <f>IF(C52&lt;&gt;"",ROW()-3,"")</f>
        <v/>
      </c>
      <c r="B52" s="31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 t="n"/>
      <c r="N52" s="34" t="n"/>
      <c r="O52" s="34" t="n"/>
      <c r="P52" s="34">
        <f>IF(AND(Q52="SÍ",N52&lt;&gt;"",O52&lt;&gt;""),N52-O52,"")</f>
        <v/>
      </c>
      <c r="Q52" s="32" t="n"/>
      <c r="R52" s="32" t="n"/>
      <c r="S52" s="32" t="n"/>
      <c r="T52" s="32">
        <f>IF(S52&lt;&gt;"",CHOOSE(WEEKDAY(S52,2),"Lunes","Martes","Miércoles","Jueves","Viernes","Sábado","Domingo"),"")</f>
        <v/>
      </c>
      <c r="U52" s="34">
        <f>IF(AND(P52&lt;&gt;"",R52&gt;0),ROUND(P52/R52,2),"")</f>
        <v/>
      </c>
      <c r="V52" s="31">
        <f>IF(AND(Q52="SÍ",S52&lt;&gt;""),S52,"")</f>
        <v/>
      </c>
      <c r="W52" s="32" t="n"/>
      <c r="X52" s="31">
        <f>IF(V52&lt;&gt;"",V52+7,"")</f>
        <v/>
      </c>
      <c r="Y52" s="32" t="n"/>
      <c r="Z52" s="31">
        <f>IF(X52&lt;&gt;"",X52+7,"")</f>
        <v/>
      </c>
      <c r="AA52" s="32" t="n"/>
      <c r="AB52" s="31">
        <f>IF(Z52&lt;&gt;"",Z52+7,"")</f>
        <v/>
      </c>
      <c r="AC52" s="32" t="n"/>
      <c r="AD52" s="31">
        <f>IF(AB52&lt;&gt;"",AB52+7,"")</f>
        <v/>
      </c>
      <c r="AE52" s="32" t="n"/>
      <c r="AF52" s="31">
        <f>IF(AD52&lt;&gt;"",AD52+7,"")</f>
        <v/>
      </c>
      <c r="AG52" s="32" t="n"/>
      <c r="AH52" s="34">
        <f>IF(U52&lt;&gt;"",(COUNTIF(W52,"PAGADO")+COUNTIF(Y52,"PAGADO")+COUNTIF(AA52,"PAGADO")+COUNTIF(AC52,"PAGADO")+COUNTIF(AE52,"PAGADO")+COUNTIF(AG52,"PAGADO"))*U52,"")</f>
        <v/>
      </c>
      <c r="AI52" s="34">
        <f>IF(AND(P52&lt;&gt;"",AH52&lt;&gt;""),P52-AH52,IF(P52&lt;&gt;"",P52,""))</f>
        <v/>
      </c>
      <c r="AJ52" s="32" t="n"/>
      <c r="AK52" s="32" t="n"/>
      <c r="AL52" s="32" t="n"/>
      <c r="AM52" s="34" t="n"/>
      <c r="AN52" s="35" t="n"/>
    </row>
    <row r="53" ht="20" customHeight="1">
      <c r="A53" s="24">
        <f>IF(C53&lt;&gt;"",ROW()-3,"")</f>
        <v/>
      </c>
      <c r="B53" s="25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7" t="n"/>
      <c r="N53" s="28" t="n"/>
      <c r="O53" s="28" t="n"/>
      <c r="P53" s="28">
        <f>IF(AND(Q53="SÍ",N53&lt;&gt;"",O53&lt;&gt;""),N53-O53,"")</f>
        <v/>
      </c>
      <c r="Q53" s="26" t="n"/>
      <c r="R53" s="26" t="n"/>
      <c r="S53" s="26" t="n"/>
      <c r="T53" s="26">
        <f>IF(S53&lt;&gt;"",CHOOSE(WEEKDAY(S53,2),"Lunes","Martes","Miércoles","Jueves","Viernes","Sábado","Domingo"),"")</f>
        <v/>
      </c>
      <c r="U53" s="28">
        <f>IF(AND(P53&lt;&gt;"",R53&gt;0),ROUND(P53/R53,2),"")</f>
        <v/>
      </c>
      <c r="V53" s="25">
        <f>IF(AND(Q53="SÍ",S53&lt;&gt;""),S53,"")</f>
        <v/>
      </c>
      <c r="W53" s="26" t="n"/>
      <c r="X53" s="25">
        <f>IF(V53&lt;&gt;"",V53+7,"")</f>
        <v/>
      </c>
      <c r="Y53" s="26" t="n"/>
      <c r="Z53" s="25">
        <f>IF(X53&lt;&gt;"",X53+7,"")</f>
        <v/>
      </c>
      <c r="AA53" s="26" t="n"/>
      <c r="AB53" s="25">
        <f>IF(Z53&lt;&gt;"",Z53+7,"")</f>
        <v/>
      </c>
      <c r="AC53" s="26" t="n"/>
      <c r="AD53" s="25">
        <f>IF(AB53&lt;&gt;"",AB53+7,"")</f>
        <v/>
      </c>
      <c r="AE53" s="26" t="n"/>
      <c r="AF53" s="25">
        <f>IF(AD53&lt;&gt;"",AD53+7,"")</f>
        <v/>
      </c>
      <c r="AG53" s="26" t="n"/>
      <c r="AH53" s="28">
        <f>IF(U53&lt;&gt;"",(COUNTIF(W53,"PAGADO")+COUNTIF(Y53,"PAGADO")+COUNTIF(AA53,"PAGADO")+COUNTIF(AC53,"PAGADO")+COUNTIF(AE53,"PAGADO")+COUNTIF(AG53,"PAGADO"))*U53,"")</f>
        <v/>
      </c>
      <c r="AI53" s="28">
        <f>IF(AND(P53&lt;&gt;"",AH53&lt;&gt;""),P53-AH53,IF(P53&lt;&gt;"",P53,""))</f>
        <v/>
      </c>
      <c r="AJ53" s="26" t="n"/>
      <c r="AK53" s="26" t="n"/>
      <c r="AL53" s="26" t="n"/>
      <c r="AM53" s="28" t="n"/>
      <c r="AN53" s="29" t="n"/>
    </row>
    <row r="54" ht="20" customHeight="1">
      <c r="A54" s="30">
        <f>IF(C54&lt;&gt;"",ROW()-3,"")</f>
        <v/>
      </c>
      <c r="B54" s="31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 t="n"/>
      <c r="N54" s="34" t="n"/>
      <c r="O54" s="34" t="n"/>
      <c r="P54" s="34">
        <f>IF(AND(Q54="SÍ",N54&lt;&gt;"",O54&lt;&gt;""),N54-O54,"")</f>
        <v/>
      </c>
      <c r="Q54" s="32" t="n"/>
      <c r="R54" s="32" t="n"/>
      <c r="S54" s="32" t="n"/>
      <c r="T54" s="32">
        <f>IF(S54&lt;&gt;"",CHOOSE(WEEKDAY(S54,2),"Lunes","Martes","Miércoles","Jueves","Viernes","Sábado","Domingo"),"")</f>
        <v/>
      </c>
      <c r="U54" s="34">
        <f>IF(AND(P54&lt;&gt;"",R54&gt;0),ROUND(P54/R54,2),"")</f>
        <v/>
      </c>
      <c r="V54" s="31">
        <f>IF(AND(Q54="SÍ",S54&lt;&gt;""),S54,"")</f>
        <v/>
      </c>
      <c r="W54" s="32" t="n"/>
      <c r="X54" s="31">
        <f>IF(V54&lt;&gt;"",V54+7,"")</f>
        <v/>
      </c>
      <c r="Y54" s="32" t="n"/>
      <c r="Z54" s="31">
        <f>IF(X54&lt;&gt;"",X54+7,"")</f>
        <v/>
      </c>
      <c r="AA54" s="32" t="n"/>
      <c r="AB54" s="31">
        <f>IF(Z54&lt;&gt;"",Z54+7,"")</f>
        <v/>
      </c>
      <c r="AC54" s="32" t="n"/>
      <c r="AD54" s="31">
        <f>IF(AB54&lt;&gt;"",AB54+7,"")</f>
        <v/>
      </c>
      <c r="AE54" s="32" t="n"/>
      <c r="AF54" s="31">
        <f>IF(AD54&lt;&gt;"",AD54+7,"")</f>
        <v/>
      </c>
      <c r="AG54" s="32" t="n"/>
      <c r="AH54" s="34">
        <f>IF(U54&lt;&gt;"",(COUNTIF(W54,"PAGADO")+COUNTIF(Y54,"PAGADO")+COUNTIF(AA54,"PAGADO")+COUNTIF(AC54,"PAGADO")+COUNTIF(AE54,"PAGADO")+COUNTIF(AG54,"PAGADO"))*U54,"")</f>
        <v/>
      </c>
      <c r="AI54" s="34">
        <f>IF(AND(P54&lt;&gt;"",AH54&lt;&gt;""),P54-AH54,IF(P54&lt;&gt;"",P54,""))</f>
        <v/>
      </c>
      <c r="AJ54" s="32" t="n"/>
      <c r="AK54" s="32" t="n"/>
      <c r="AL54" s="32" t="n"/>
      <c r="AM54" s="34" t="n"/>
      <c r="AN54" s="35" t="n"/>
    </row>
    <row r="55" ht="20" customHeight="1">
      <c r="A55" s="24">
        <f>IF(C55&lt;&gt;"",ROW()-3,"")</f>
        <v/>
      </c>
      <c r="B55" s="25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7" t="n"/>
      <c r="N55" s="28" t="n"/>
      <c r="O55" s="28" t="n"/>
      <c r="P55" s="28">
        <f>IF(AND(Q55="SÍ",N55&lt;&gt;"",O55&lt;&gt;""),N55-O55,"")</f>
        <v/>
      </c>
      <c r="Q55" s="26" t="n"/>
      <c r="R55" s="26" t="n"/>
      <c r="S55" s="26" t="n"/>
      <c r="T55" s="26">
        <f>IF(S55&lt;&gt;"",CHOOSE(WEEKDAY(S55,2),"Lunes","Martes","Miércoles","Jueves","Viernes","Sábado","Domingo"),"")</f>
        <v/>
      </c>
      <c r="U55" s="28">
        <f>IF(AND(P55&lt;&gt;"",R55&gt;0),ROUND(P55/R55,2),"")</f>
        <v/>
      </c>
      <c r="V55" s="25">
        <f>IF(AND(Q55="SÍ",S55&lt;&gt;""),S55,"")</f>
        <v/>
      </c>
      <c r="W55" s="26" t="n"/>
      <c r="X55" s="25">
        <f>IF(V55&lt;&gt;"",V55+7,"")</f>
        <v/>
      </c>
      <c r="Y55" s="26" t="n"/>
      <c r="Z55" s="25">
        <f>IF(X55&lt;&gt;"",X55+7,"")</f>
        <v/>
      </c>
      <c r="AA55" s="26" t="n"/>
      <c r="AB55" s="25">
        <f>IF(Z55&lt;&gt;"",Z55+7,"")</f>
        <v/>
      </c>
      <c r="AC55" s="26" t="n"/>
      <c r="AD55" s="25">
        <f>IF(AB55&lt;&gt;"",AB55+7,"")</f>
        <v/>
      </c>
      <c r="AE55" s="26" t="n"/>
      <c r="AF55" s="25">
        <f>IF(AD55&lt;&gt;"",AD55+7,"")</f>
        <v/>
      </c>
      <c r="AG55" s="26" t="n"/>
      <c r="AH55" s="28">
        <f>IF(U55&lt;&gt;"",(COUNTIF(W55,"PAGADO")+COUNTIF(Y55,"PAGADO")+COUNTIF(AA55,"PAGADO")+COUNTIF(AC55,"PAGADO")+COUNTIF(AE55,"PAGADO")+COUNTIF(AG55,"PAGADO"))*U55,"")</f>
        <v/>
      </c>
      <c r="AI55" s="28">
        <f>IF(AND(P55&lt;&gt;"",AH55&lt;&gt;""),P55-AH55,IF(P55&lt;&gt;"",P55,""))</f>
        <v/>
      </c>
      <c r="AJ55" s="26" t="n"/>
      <c r="AK55" s="26" t="n"/>
      <c r="AL55" s="26" t="n"/>
      <c r="AM55" s="28" t="n"/>
      <c r="AN55" s="29" t="n"/>
    </row>
    <row r="56" ht="20" customHeight="1">
      <c r="A56" s="30">
        <f>IF(C56&lt;&gt;"",ROW()-3,"")</f>
        <v/>
      </c>
      <c r="B56" s="31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 t="n"/>
      <c r="N56" s="34" t="n"/>
      <c r="O56" s="34" t="n"/>
      <c r="P56" s="34">
        <f>IF(AND(Q56="SÍ",N56&lt;&gt;"",O56&lt;&gt;""),N56-O56,"")</f>
        <v/>
      </c>
      <c r="Q56" s="32" t="n"/>
      <c r="R56" s="32" t="n"/>
      <c r="S56" s="32" t="n"/>
      <c r="T56" s="32">
        <f>IF(S56&lt;&gt;"",CHOOSE(WEEKDAY(S56,2),"Lunes","Martes","Miércoles","Jueves","Viernes","Sábado","Domingo"),"")</f>
        <v/>
      </c>
      <c r="U56" s="34">
        <f>IF(AND(P56&lt;&gt;"",R56&gt;0),ROUND(P56/R56,2),"")</f>
        <v/>
      </c>
      <c r="V56" s="31">
        <f>IF(AND(Q56="SÍ",S56&lt;&gt;""),S56,"")</f>
        <v/>
      </c>
      <c r="W56" s="32" t="n"/>
      <c r="X56" s="31">
        <f>IF(V56&lt;&gt;"",V56+7,"")</f>
        <v/>
      </c>
      <c r="Y56" s="32" t="n"/>
      <c r="Z56" s="31">
        <f>IF(X56&lt;&gt;"",X56+7,"")</f>
        <v/>
      </c>
      <c r="AA56" s="32" t="n"/>
      <c r="AB56" s="31">
        <f>IF(Z56&lt;&gt;"",Z56+7,"")</f>
        <v/>
      </c>
      <c r="AC56" s="32" t="n"/>
      <c r="AD56" s="31">
        <f>IF(AB56&lt;&gt;"",AB56+7,"")</f>
        <v/>
      </c>
      <c r="AE56" s="32" t="n"/>
      <c r="AF56" s="31">
        <f>IF(AD56&lt;&gt;"",AD56+7,"")</f>
        <v/>
      </c>
      <c r="AG56" s="32" t="n"/>
      <c r="AH56" s="34">
        <f>IF(U56&lt;&gt;"",(COUNTIF(W56,"PAGADO")+COUNTIF(Y56,"PAGADO")+COUNTIF(AA56,"PAGADO")+COUNTIF(AC56,"PAGADO")+COUNTIF(AE56,"PAGADO")+COUNTIF(AG56,"PAGADO"))*U56,"")</f>
        <v/>
      </c>
      <c r="AI56" s="34">
        <f>IF(AND(P56&lt;&gt;"",AH56&lt;&gt;""),P56-AH56,IF(P56&lt;&gt;"",P56,""))</f>
        <v/>
      </c>
      <c r="AJ56" s="32" t="n"/>
      <c r="AK56" s="32" t="n"/>
      <c r="AL56" s="32" t="n"/>
      <c r="AM56" s="34" t="n"/>
      <c r="AN56" s="35" t="n"/>
    </row>
    <row r="57" ht="20" customHeight="1">
      <c r="A57" s="24">
        <f>IF(C57&lt;&gt;"",ROW()-3,"")</f>
        <v/>
      </c>
      <c r="B57" s="25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7" t="n"/>
      <c r="N57" s="28" t="n"/>
      <c r="O57" s="28" t="n"/>
      <c r="P57" s="28">
        <f>IF(AND(Q57="SÍ",N57&lt;&gt;"",O57&lt;&gt;""),N57-O57,"")</f>
        <v/>
      </c>
      <c r="Q57" s="26" t="n"/>
      <c r="R57" s="26" t="n"/>
      <c r="S57" s="26" t="n"/>
      <c r="T57" s="26">
        <f>IF(S57&lt;&gt;"",CHOOSE(WEEKDAY(S57,2),"Lunes","Martes","Miércoles","Jueves","Viernes","Sábado","Domingo"),"")</f>
        <v/>
      </c>
      <c r="U57" s="28">
        <f>IF(AND(P57&lt;&gt;"",R57&gt;0),ROUND(P57/R57,2),"")</f>
        <v/>
      </c>
      <c r="V57" s="25">
        <f>IF(AND(Q57="SÍ",S57&lt;&gt;""),S57,"")</f>
        <v/>
      </c>
      <c r="W57" s="26" t="n"/>
      <c r="X57" s="25">
        <f>IF(V57&lt;&gt;"",V57+7,"")</f>
        <v/>
      </c>
      <c r="Y57" s="26" t="n"/>
      <c r="Z57" s="25">
        <f>IF(X57&lt;&gt;"",X57+7,"")</f>
        <v/>
      </c>
      <c r="AA57" s="26" t="n"/>
      <c r="AB57" s="25">
        <f>IF(Z57&lt;&gt;"",Z57+7,"")</f>
        <v/>
      </c>
      <c r="AC57" s="26" t="n"/>
      <c r="AD57" s="25">
        <f>IF(AB57&lt;&gt;"",AB57+7,"")</f>
        <v/>
      </c>
      <c r="AE57" s="26" t="n"/>
      <c r="AF57" s="25">
        <f>IF(AD57&lt;&gt;"",AD57+7,"")</f>
        <v/>
      </c>
      <c r="AG57" s="26" t="n"/>
      <c r="AH57" s="28">
        <f>IF(U57&lt;&gt;"",(COUNTIF(W57,"PAGADO")+COUNTIF(Y57,"PAGADO")+COUNTIF(AA57,"PAGADO")+COUNTIF(AC57,"PAGADO")+COUNTIF(AE57,"PAGADO")+COUNTIF(AG57,"PAGADO"))*U57,"")</f>
        <v/>
      </c>
      <c r="AI57" s="28">
        <f>IF(AND(P57&lt;&gt;"",AH57&lt;&gt;""),P57-AH57,IF(P57&lt;&gt;"",P57,""))</f>
        <v/>
      </c>
      <c r="AJ57" s="26" t="n"/>
      <c r="AK57" s="26" t="n"/>
      <c r="AL57" s="26" t="n"/>
      <c r="AM57" s="28" t="n"/>
      <c r="AN57" s="29" t="n"/>
    </row>
    <row r="58" ht="20" customHeight="1">
      <c r="A58" s="30">
        <f>IF(C58&lt;&gt;"",ROW()-3,"")</f>
        <v/>
      </c>
      <c r="B58" s="31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 t="n"/>
      <c r="N58" s="34" t="n"/>
      <c r="O58" s="34" t="n"/>
      <c r="P58" s="34">
        <f>IF(AND(Q58="SÍ",N58&lt;&gt;"",O58&lt;&gt;""),N58-O58,"")</f>
        <v/>
      </c>
      <c r="Q58" s="32" t="n"/>
      <c r="R58" s="32" t="n"/>
      <c r="S58" s="32" t="n"/>
      <c r="T58" s="32">
        <f>IF(S58&lt;&gt;"",CHOOSE(WEEKDAY(S58,2),"Lunes","Martes","Miércoles","Jueves","Viernes","Sábado","Domingo"),"")</f>
        <v/>
      </c>
      <c r="U58" s="34">
        <f>IF(AND(P58&lt;&gt;"",R58&gt;0),ROUND(P58/R58,2),"")</f>
        <v/>
      </c>
      <c r="V58" s="31">
        <f>IF(AND(Q58="SÍ",S58&lt;&gt;""),S58,"")</f>
        <v/>
      </c>
      <c r="W58" s="32" t="n"/>
      <c r="X58" s="31">
        <f>IF(V58&lt;&gt;"",V58+7,"")</f>
        <v/>
      </c>
      <c r="Y58" s="32" t="n"/>
      <c r="Z58" s="31">
        <f>IF(X58&lt;&gt;"",X58+7,"")</f>
        <v/>
      </c>
      <c r="AA58" s="32" t="n"/>
      <c r="AB58" s="31">
        <f>IF(Z58&lt;&gt;"",Z58+7,"")</f>
        <v/>
      </c>
      <c r="AC58" s="32" t="n"/>
      <c r="AD58" s="31">
        <f>IF(AB58&lt;&gt;"",AB58+7,"")</f>
        <v/>
      </c>
      <c r="AE58" s="32" t="n"/>
      <c r="AF58" s="31">
        <f>IF(AD58&lt;&gt;"",AD58+7,"")</f>
        <v/>
      </c>
      <c r="AG58" s="32" t="n"/>
      <c r="AH58" s="34">
        <f>IF(U58&lt;&gt;"",(COUNTIF(W58,"PAGADO")+COUNTIF(Y58,"PAGADO")+COUNTIF(AA58,"PAGADO")+COUNTIF(AC58,"PAGADO")+COUNTIF(AE58,"PAGADO")+COUNTIF(AG58,"PAGADO"))*U58,"")</f>
        <v/>
      </c>
      <c r="AI58" s="34">
        <f>IF(AND(P58&lt;&gt;"",AH58&lt;&gt;""),P58-AH58,IF(P58&lt;&gt;"",P58,""))</f>
        <v/>
      </c>
      <c r="AJ58" s="32" t="n"/>
      <c r="AK58" s="32" t="n"/>
      <c r="AL58" s="32" t="n"/>
      <c r="AM58" s="34" t="n"/>
      <c r="AN58" s="35" t="n"/>
    </row>
    <row r="59" ht="20" customHeight="1">
      <c r="A59" s="24">
        <f>IF(C59&lt;&gt;"",ROW()-3,"")</f>
        <v/>
      </c>
      <c r="B59" s="25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7" t="n"/>
      <c r="N59" s="28" t="n"/>
      <c r="O59" s="28" t="n"/>
      <c r="P59" s="28">
        <f>IF(AND(Q59="SÍ",N59&lt;&gt;"",O59&lt;&gt;""),N59-O59,"")</f>
        <v/>
      </c>
      <c r="Q59" s="26" t="n"/>
      <c r="R59" s="26" t="n"/>
      <c r="S59" s="26" t="n"/>
      <c r="T59" s="26">
        <f>IF(S59&lt;&gt;"",CHOOSE(WEEKDAY(S59,2),"Lunes","Martes","Miércoles","Jueves","Viernes","Sábado","Domingo"),"")</f>
        <v/>
      </c>
      <c r="U59" s="28">
        <f>IF(AND(P59&lt;&gt;"",R59&gt;0),ROUND(P59/R59,2),"")</f>
        <v/>
      </c>
      <c r="V59" s="25">
        <f>IF(AND(Q59="SÍ",S59&lt;&gt;""),S59,"")</f>
        <v/>
      </c>
      <c r="W59" s="26" t="n"/>
      <c r="X59" s="25">
        <f>IF(V59&lt;&gt;"",V59+7,"")</f>
        <v/>
      </c>
      <c r="Y59" s="26" t="n"/>
      <c r="Z59" s="25">
        <f>IF(X59&lt;&gt;"",X59+7,"")</f>
        <v/>
      </c>
      <c r="AA59" s="26" t="n"/>
      <c r="AB59" s="25">
        <f>IF(Z59&lt;&gt;"",Z59+7,"")</f>
        <v/>
      </c>
      <c r="AC59" s="26" t="n"/>
      <c r="AD59" s="25">
        <f>IF(AB59&lt;&gt;"",AB59+7,"")</f>
        <v/>
      </c>
      <c r="AE59" s="26" t="n"/>
      <c r="AF59" s="25">
        <f>IF(AD59&lt;&gt;"",AD59+7,"")</f>
        <v/>
      </c>
      <c r="AG59" s="26" t="n"/>
      <c r="AH59" s="28">
        <f>IF(U59&lt;&gt;"",(COUNTIF(W59,"PAGADO")+COUNTIF(Y59,"PAGADO")+COUNTIF(AA59,"PAGADO")+COUNTIF(AC59,"PAGADO")+COUNTIF(AE59,"PAGADO")+COUNTIF(AG59,"PAGADO"))*U59,"")</f>
        <v/>
      </c>
      <c r="AI59" s="28">
        <f>IF(AND(P59&lt;&gt;"",AH59&lt;&gt;""),P59-AH59,IF(P59&lt;&gt;"",P59,""))</f>
        <v/>
      </c>
      <c r="AJ59" s="26" t="n"/>
      <c r="AK59" s="26" t="n"/>
      <c r="AL59" s="26" t="n"/>
      <c r="AM59" s="28" t="n"/>
      <c r="AN59" s="29" t="n"/>
    </row>
    <row r="60" ht="20" customHeight="1">
      <c r="A60" s="30">
        <f>IF(C60&lt;&gt;"",ROW()-3,"")</f>
        <v/>
      </c>
      <c r="B60" s="31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3" t="n"/>
      <c r="N60" s="34" t="n"/>
      <c r="O60" s="34" t="n"/>
      <c r="P60" s="34">
        <f>IF(AND(Q60="SÍ",N60&lt;&gt;"",O60&lt;&gt;""),N60-O60,"")</f>
        <v/>
      </c>
      <c r="Q60" s="32" t="n"/>
      <c r="R60" s="32" t="n"/>
      <c r="S60" s="32" t="n"/>
      <c r="T60" s="32">
        <f>IF(S60&lt;&gt;"",CHOOSE(WEEKDAY(S60,2),"Lunes","Martes","Miércoles","Jueves","Viernes","Sábado","Domingo"),"")</f>
        <v/>
      </c>
      <c r="U60" s="34">
        <f>IF(AND(P60&lt;&gt;"",R60&gt;0),ROUND(P60/R60,2),"")</f>
        <v/>
      </c>
      <c r="V60" s="31">
        <f>IF(AND(Q60="SÍ",S60&lt;&gt;""),S60,"")</f>
        <v/>
      </c>
      <c r="W60" s="32" t="n"/>
      <c r="X60" s="31">
        <f>IF(V60&lt;&gt;"",V60+7,"")</f>
        <v/>
      </c>
      <c r="Y60" s="32" t="n"/>
      <c r="Z60" s="31">
        <f>IF(X60&lt;&gt;"",X60+7,"")</f>
        <v/>
      </c>
      <c r="AA60" s="32" t="n"/>
      <c r="AB60" s="31">
        <f>IF(Z60&lt;&gt;"",Z60+7,"")</f>
        <v/>
      </c>
      <c r="AC60" s="32" t="n"/>
      <c r="AD60" s="31">
        <f>IF(AB60&lt;&gt;"",AB60+7,"")</f>
        <v/>
      </c>
      <c r="AE60" s="32" t="n"/>
      <c r="AF60" s="31">
        <f>IF(AD60&lt;&gt;"",AD60+7,"")</f>
        <v/>
      </c>
      <c r="AG60" s="32" t="n"/>
      <c r="AH60" s="34">
        <f>IF(U60&lt;&gt;"",(COUNTIF(W60,"PAGADO")+COUNTIF(Y60,"PAGADO")+COUNTIF(AA60,"PAGADO")+COUNTIF(AC60,"PAGADO")+COUNTIF(AE60,"PAGADO")+COUNTIF(AG60,"PAGADO"))*U60,"")</f>
        <v/>
      </c>
      <c r="AI60" s="34">
        <f>IF(AND(P60&lt;&gt;"",AH60&lt;&gt;""),P60-AH60,IF(P60&lt;&gt;"",P60,""))</f>
        <v/>
      </c>
      <c r="AJ60" s="32" t="n"/>
      <c r="AK60" s="32" t="n"/>
      <c r="AL60" s="32" t="n"/>
      <c r="AM60" s="34" t="n"/>
      <c r="AN60" s="35" t="n"/>
    </row>
    <row r="61" ht="20" customHeight="1">
      <c r="A61" s="24">
        <f>IF(C61&lt;&gt;"",ROW()-3,"")</f>
        <v/>
      </c>
      <c r="B61" s="25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7" t="n"/>
      <c r="N61" s="28" t="n"/>
      <c r="O61" s="28" t="n"/>
      <c r="P61" s="28">
        <f>IF(AND(Q61="SÍ",N61&lt;&gt;"",O61&lt;&gt;""),N61-O61,"")</f>
        <v/>
      </c>
      <c r="Q61" s="26" t="n"/>
      <c r="R61" s="26" t="n"/>
      <c r="S61" s="26" t="n"/>
      <c r="T61" s="26">
        <f>IF(S61&lt;&gt;"",CHOOSE(WEEKDAY(S61,2),"Lunes","Martes","Miércoles","Jueves","Viernes","Sábado","Domingo"),"")</f>
        <v/>
      </c>
      <c r="U61" s="28">
        <f>IF(AND(P61&lt;&gt;"",R61&gt;0),ROUND(P61/R61,2),"")</f>
        <v/>
      </c>
      <c r="V61" s="25">
        <f>IF(AND(Q61="SÍ",S61&lt;&gt;""),S61,"")</f>
        <v/>
      </c>
      <c r="W61" s="26" t="n"/>
      <c r="X61" s="25">
        <f>IF(V61&lt;&gt;"",V61+7,"")</f>
        <v/>
      </c>
      <c r="Y61" s="26" t="n"/>
      <c r="Z61" s="25">
        <f>IF(X61&lt;&gt;"",X61+7,"")</f>
        <v/>
      </c>
      <c r="AA61" s="26" t="n"/>
      <c r="AB61" s="25">
        <f>IF(Z61&lt;&gt;"",Z61+7,"")</f>
        <v/>
      </c>
      <c r="AC61" s="26" t="n"/>
      <c r="AD61" s="25">
        <f>IF(AB61&lt;&gt;"",AB61+7,"")</f>
        <v/>
      </c>
      <c r="AE61" s="26" t="n"/>
      <c r="AF61" s="25">
        <f>IF(AD61&lt;&gt;"",AD61+7,"")</f>
        <v/>
      </c>
      <c r="AG61" s="26" t="n"/>
      <c r="AH61" s="28">
        <f>IF(U61&lt;&gt;"",(COUNTIF(W61,"PAGADO")+COUNTIF(Y61,"PAGADO")+COUNTIF(AA61,"PAGADO")+COUNTIF(AC61,"PAGADO")+COUNTIF(AE61,"PAGADO")+COUNTIF(AG61,"PAGADO"))*U61,"")</f>
        <v/>
      </c>
      <c r="AI61" s="28">
        <f>IF(AND(P61&lt;&gt;"",AH61&lt;&gt;""),P61-AH61,IF(P61&lt;&gt;"",P61,""))</f>
        <v/>
      </c>
      <c r="AJ61" s="26" t="n"/>
      <c r="AK61" s="26" t="n"/>
      <c r="AL61" s="26" t="n"/>
      <c r="AM61" s="28" t="n"/>
      <c r="AN61" s="29" t="n"/>
    </row>
    <row r="62" ht="20" customHeight="1">
      <c r="A62" s="30">
        <f>IF(C62&lt;&gt;"",ROW()-3,"")</f>
        <v/>
      </c>
      <c r="B62" s="31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3" t="n"/>
      <c r="N62" s="34" t="n"/>
      <c r="O62" s="34" t="n"/>
      <c r="P62" s="34">
        <f>IF(AND(Q62="SÍ",N62&lt;&gt;"",O62&lt;&gt;""),N62-O62,"")</f>
        <v/>
      </c>
      <c r="Q62" s="32" t="n"/>
      <c r="R62" s="32" t="n"/>
      <c r="S62" s="32" t="n"/>
      <c r="T62" s="32">
        <f>IF(S62&lt;&gt;"",CHOOSE(WEEKDAY(S62,2),"Lunes","Martes","Miércoles","Jueves","Viernes","Sábado","Domingo"),"")</f>
        <v/>
      </c>
      <c r="U62" s="34">
        <f>IF(AND(P62&lt;&gt;"",R62&gt;0),ROUND(P62/R62,2),"")</f>
        <v/>
      </c>
      <c r="V62" s="31">
        <f>IF(AND(Q62="SÍ",S62&lt;&gt;""),S62,"")</f>
        <v/>
      </c>
      <c r="W62" s="32" t="n"/>
      <c r="X62" s="31">
        <f>IF(V62&lt;&gt;"",V62+7,"")</f>
        <v/>
      </c>
      <c r="Y62" s="32" t="n"/>
      <c r="Z62" s="31">
        <f>IF(X62&lt;&gt;"",X62+7,"")</f>
        <v/>
      </c>
      <c r="AA62" s="32" t="n"/>
      <c r="AB62" s="31">
        <f>IF(Z62&lt;&gt;"",Z62+7,"")</f>
        <v/>
      </c>
      <c r="AC62" s="32" t="n"/>
      <c r="AD62" s="31">
        <f>IF(AB62&lt;&gt;"",AB62+7,"")</f>
        <v/>
      </c>
      <c r="AE62" s="32" t="n"/>
      <c r="AF62" s="31">
        <f>IF(AD62&lt;&gt;"",AD62+7,"")</f>
        <v/>
      </c>
      <c r="AG62" s="32" t="n"/>
      <c r="AH62" s="34">
        <f>IF(U62&lt;&gt;"",(COUNTIF(W62,"PAGADO")+COUNTIF(Y62,"PAGADO")+COUNTIF(AA62,"PAGADO")+COUNTIF(AC62,"PAGADO")+COUNTIF(AE62,"PAGADO")+COUNTIF(AG62,"PAGADO"))*U62,"")</f>
        <v/>
      </c>
      <c r="AI62" s="34">
        <f>IF(AND(P62&lt;&gt;"",AH62&lt;&gt;""),P62-AH62,IF(P62&lt;&gt;"",P62,""))</f>
        <v/>
      </c>
      <c r="AJ62" s="32" t="n"/>
      <c r="AK62" s="32" t="n"/>
      <c r="AL62" s="32" t="n"/>
      <c r="AM62" s="34" t="n"/>
      <c r="AN62" s="35" t="n"/>
    </row>
    <row r="63" ht="20" customHeight="1">
      <c r="A63" s="24">
        <f>IF(C63&lt;&gt;"",ROW()-3,"")</f>
        <v/>
      </c>
      <c r="B63" s="25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7" t="n"/>
      <c r="N63" s="28" t="n"/>
      <c r="O63" s="28" t="n"/>
      <c r="P63" s="28">
        <f>IF(AND(Q63="SÍ",N63&lt;&gt;"",O63&lt;&gt;""),N63-O63,"")</f>
        <v/>
      </c>
      <c r="Q63" s="26" t="n"/>
      <c r="R63" s="26" t="n"/>
      <c r="S63" s="26" t="n"/>
      <c r="T63" s="26">
        <f>IF(S63&lt;&gt;"",CHOOSE(WEEKDAY(S63,2),"Lunes","Martes","Miércoles","Jueves","Viernes","Sábado","Domingo"),"")</f>
        <v/>
      </c>
      <c r="U63" s="28">
        <f>IF(AND(P63&lt;&gt;"",R63&gt;0),ROUND(P63/R63,2),"")</f>
        <v/>
      </c>
      <c r="V63" s="25">
        <f>IF(AND(Q63="SÍ",S63&lt;&gt;""),S63,"")</f>
        <v/>
      </c>
      <c r="W63" s="26" t="n"/>
      <c r="X63" s="25">
        <f>IF(V63&lt;&gt;"",V63+7,"")</f>
        <v/>
      </c>
      <c r="Y63" s="26" t="n"/>
      <c r="Z63" s="25">
        <f>IF(X63&lt;&gt;"",X63+7,"")</f>
        <v/>
      </c>
      <c r="AA63" s="26" t="n"/>
      <c r="AB63" s="25">
        <f>IF(Z63&lt;&gt;"",Z63+7,"")</f>
        <v/>
      </c>
      <c r="AC63" s="26" t="n"/>
      <c r="AD63" s="25">
        <f>IF(AB63&lt;&gt;"",AB63+7,"")</f>
        <v/>
      </c>
      <c r="AE63" s="26" t="n"/>
      <c r="AF63" s="25">
        <f>IF(AD63&lt;&gt;"",AD63+7,"")</f>
        <v/>
      </c>
      <c r="AG63" s="26" t="n"/>
      <c r="AH63" s="28">
        <f>IF(U63&lt;&gt;"",(COUNTIF(W63,"PAGADO")+COUNTIF(Y63,"PAGADO")+COUNTIF(AA63,"PAGADO")+COUNTIF(AC63,"PAGADO")+COUNTIF(AE63,"PAGADO")+COUNTIF(AG63,"PAGADO"))*U63,"")</f>
        <v/>
      </c>
      <c r="AI63" s="28">
        <f>IF(AND(P63&lt;&gt;"",AH63&lt;&gt;""),P63-AH63,IF(P63&lt;&gt;"",P63,""))</f>
        <v/>
      </c>
      <c r="AJ63" s="26" t="n"/>
      <c r="AK63" s="26" t="n"/>
      <c r="AL63" s="26" t="n"/>
      <c r="AM63" s="28" t="n"/>
      <c r="AN63" s="29" t="n"/>
    </row>
    <row r="64" ht="20" customHeight="1">
      <c r="A64" s="30">
        <f>IF(C64&lt;&gt;"",ROW()-3,"")</f>
        <v/>
      </c>
      <c r="B64" s="31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3" t="n"/>
      <c r="N64" s="34" t="n"/>
      <c r="O64" s="34" t="n"/>
      <c r="P64" s="34">
        <f>IF(AND(Q64="SÍ",N64&lt;&gt;"",O64&lt;&gt;""),N64-O64,"")</f>
        <v/>
      </c>
      <c r="Q64" s="32" t="n"/>
      <c r="R64" s="32" t="n"/>
      <c r="S64" s="32" t="n"/>
      <c r="T64" s="32">
        <f>IF(S64&lt;&gt;"",CHOOSE(WEEKDAY(S64,2),"Lunes","Martes","Miércoles","Jueves","Viernes","Sábado","Domingo"),"")</f>
        <v/>
      </c>
      <c r="U64" s="34">
        <f>IF(AND(P64&lt;&gt;"",R64&gt;0),ROUND(P64/R64,2),"")</f>
        <v/>
      </c>
      <c r="V64" s="31">
        <f>IF(AND(Q64="SÍ",S64&lt;&gt;""),S64,"")</f>
        <v/>
      </c>
      <c r="W64" s="32" t="n"/>
      <c r="X64" s="31">
        <f>IF(V64&lt;&gt;"",V64+7,"")</f>
        <v/>
      </c>
      <c r="Y64" s="32" t="n"/>
      <c r="Z64" s="31">
        <f>IF(X64&lt;&gt;"",X64+7,"")</f>
        <v/>
      </c>
      <c r="AA64" s="32" t="n"/>
      <c r="AB64" s="31">
        <f>IF(Z64&lt;&gt;"",Z64+7,"")</f>
        <v/>
      </c>
      <c r="AC64" s="32" t="n"/>
      <c r="AD64" s="31">
        <f>IF(AB64&lt;&gt;"",AB64+7,"")</f>
        <v/>
      </c>
      <c r="AE64" s="32" t="n"/>
      <c r="AF64" s="31">
        <f>IF(AD64&lt;&gt;"",AD64+7,"")</f>
        <v/>
      </c>
      <c r="AG64" s="32" t="n"/>
      <c r="AH64" s="34">
        <f>IF(U64&lt;&gt;"",(COUNTIF(W64,"PAGADO")+COUNTIF(Y64,"PAGADO")+COUNTIF(AA64,"PAGADO")+COUNTIF(AC64,"PAGADO")+COUNTIF(AE64,"PAGADO")+COUNTIF(AG64,"PAGADO"))*U64,"")</f>
        <v/>
      </c>
      <c r="AI64" s="34">
        <f>IF(AND(P64&lt;&gt;"",AH64&lt;&gt;""),P64-AH64,IF(P64&lt;&gt;"",P64,""))</f>
        <v/>
      </c>
      <c r="AJ64" s="32" t="n"/>
      <c r="AK64" s="32" t="n"/>
      <c r="AL64" s="32" t="n"/>
      <c r="AM64" s="34" t="n"/>
      <c r="AN64" s="35" t="n"/>
    </row>
    <row r="65" ht="20" customHeight="1">
      <c r="A65" s="24">
        <f>IF(C65&lt;&gt;"",ROW()-3,"")</f>
        <v/>
      </c>
      <c r="B65" s="25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7" t="n"/>
      <c r="N65" s="28" t="n"/>
      <c r="O65" s="28" t="n"/>
      <c r="P65" s="28">
        <f>IF(AND(Q65="SÍ",N65&lt;&gt;"",O65&lt;&gt;""),N65-O65,"")</f>
        <v/>
      </c>
      <c r="Q65" s="26" t="n"/>
      <c r="R65" s="26" t="n"/>
      <c r="S65" s="26" t="n"/>
      <c r="T65" s="26">
        <f>IF(S65&lt;&gt;"",CHOOSE(WEEKDAY(S65,2),"Lunes","Martes","Miércoles","Jueves","Viernes","Sábado","Domingo"),"")</f>
        <v/>
      </c>
      <c r="U65" s="28">
        <f>IF(AND(P65&lt;&gt;"",R65&gt;0),ROUND(P65/R65,2),"")</f>
        <v/>
      </c>
      <c r="V65" s="25">
        <f>IF(AND(Q65="SÍ",S65&lt;&gt;""),S65,"")</f>
        <v/>
      </c>
      <c r="W65" s="26" t="n"/>
      <c r="X65" s="25">
        <f>IF(V65&lt;&gt;"",V65+7,"")</f>
        <v/>
      </c>
      <c r="Y65" s="26" t="n"/>
      <c r="Z65" s="25">
        <f>IF(X65&lt;&gt;"",X65+7,"")</f>
        <v/>
      </c>
      <c r="AA65" s="26" t="n"/>
      <c r="AB65" s="25">
        <f>IF(Z65&lt;&gt;"",Z65+7,"")</f>
        <v/>
      </c>
      <c r="AC65" s="26" t="n"/>
      <c r="AD65" s="25">
        <f>IF(AB65&lt;&gt;"",AB65+7,"")</f>
        <v/>
      </c>
      <c r="AE65" s="26" t="n"/>
      <c r="AF65" s="25">
        <f>IF(AD65&lt;&gt;"",AD65+7,"")</f>
        <v/>
      </c>
      <c r="AG65" s="26" t="n"/>
      <c r="AH65" s="28">
        <f>IF(U65&lt;&gt;"",(COUNTIF(W65,"PAGADO")+COUNTIF(Y65,"PAGADO")+COUNTIF(AA65,"PAGADO")+COUNTIF(AC65,"PAGADO")+COUNTIF(AE65,"PAGADO")+COUNTIF(AG65,"PAGADO"))*U65,"")</f>
        <v/>
      </c>
      <c r="AI65" s="28">
        <f>IF(AND(P65&lt;&gt;"",AH65&lt;&gt;""),P65-AH65,IF(P65&lt;&gt;"",P65,""))</f>
        <v/>
      </c>
      <c r="AJ65" s="26" t="n"/>
      <c r="AK65" s="26" t="n"/>
      <c r="AL65" s="26" t="n"/>
      <c r="AM65" s="28" t="n"/>
      <c r="AN65" s="29" t="n"/>
    </row>
    <row r="66" ht="20" customHeight="1">
      <c r="A66" s="30">
        <f>IF(C66&lt;&gt;"",ROW()-3,"")</f>
        <v/>
      </c>
      <c r="B66" s="31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3" t="n"/>
      <c r="N66" s="34" t="n"/>
      <c r="O66" s="34" t="n"/>
      <c r="P66" s="34">
        <f>IF(AND(Q66="SÍ",N66&lt;&gt;"",O66&lt;&gt;""),N66-O66,"")</f>
        <v/>
      </c>
      <c r="Q66" s="32" t="n"/>
      <c r="R66" s="32" t="n"/>
      <c r="S66" s="32" t="n"/>
      <c r="T66" s="32">
        <f>IF(S66&lt;&gt;"",CHOOSE(WEEKDAY(S66,2),"Lunes","Martes","Miércoles","Jueves","Viernes","Sábado","Domingo"),"")</f>
        <v/>
      </c>
      <c r="U66" s="34">
        <f>IF(AND(P66&lt;&gt;"",R66&gt;0),ROUND(P66/R66,2),"")</f>
        <v/>
      </c>
      <c r="V66" s="31">
        <f>IF(AND(Q66="SÍ",S66&lt;&gt;""),S66,"")</f>
        <v/>
      </c>
      <c r="W66" s="32" t="n"/>
      <c r="X66" s="31">
        <f>IF(V66&lt;&gt;"",V66+7,"")</f>
        <v/>
      </c>
      <c r="Y66" s="32" t="n"/>
      <c r="Z66" s="31">
        <f>IF(X66&lt;&gt;"",X66+7,"")</f>
        <v/>
      </c>
      <c r="AA66" s="32" t="n"/>
      <c r="AB66" s="31">
        <f>IF(Z66&lt;&gt;"",Z66+7,"")</f>
        <v/>
      </c>
      <c r="AC66" s="32" t="n"/>
      <c r="AD66" s="31">
        <f>IF(AB66&lt;&gt;"",AB66+7,"")</f>
        <v/>
      </c>
      <c r="AE66" s="32" t="n"/>
      <c r="AF66" s="31">
        <f>IF(AD66&lt;&gt;"",AD66+7,"")</f>
        <v/>
      </c>
      <c r="AG66" s="32" t="n"/>
      <c r="AH66" s="34">
        <f>IF(U66&lt;&gt;"",(COUNTIF(W66,"PAGADO")+COUNTIF(Y66,"PAGADO")+COUNTIF(AA66,"PAGADO")+COUNTIF(AC66,"PAGADO")+COUNTIF(AE66,"PAGADO")+COUNTIF(AG66,"PAGADO"))*U66,"")</f>
        <v/>
      </c>
      <c r="AI66" s="34">
        <f>IF(AND(P66&lt;&gt;"",AH66&lt;&gt;""),P66-AH66,IF(P66&lt;&gt;"",P66,""))</f>
        <v/>
      </c>
      <c r="AJ66" s="32" t="n"/>
      <c r="AK66" s="32" t="n"/>
      <c r="AL66" s="32" t="n"/>
      <c r="AM66" s="34" t="n"/>
      <c r="AN66" s="35" t="n"/>
    </row>
    <row r="67" ht="20" customHeight="1">
      <c r="A67" s="24">
        <f>IF(C67&lt;&gt;"",ROW()-3,"")</f>
        <v/>
      </c>
      <c r="B67" s="25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7" t="n"/>
      <c r="N67" s="28" t="n"/>
      <c r="O67" s="28" t="n"/>
      <c r="P67" s="28">
        <f>IF(AND(Q67="SÍ",N67&lt;&gt;"",O67&lt;&gt;""),N67-O67,"")</f>
        <v/>
      </c>
      <c r="Q67" s="26" t="n"/>
      <c r="R67" s="26" t="n"/>
      <c r="S67" s="26" t="n"/>
      <c r="T67" s="26">
        <f>IF(S67&lt;&gt;"",CHOOSE(WEEKDAY(S67,2),"Lunes","Martes","Miércoles","Jueves","Viernes","Sábado","Domingo"),"")</f>
        <v/>
      </c>
      <c r="U67" s="28">
        <f>IF(AND(P67&lt;&gt;"",R67&gt;0),ROUND(P67/R67,2),"")</f>
        <v/>
      </c>
      <c r="V67" s="25">
        <f>IF(AND(Q67="SÍ",S67&lt;&gt;""),S67,"")</f>
        <v/>
      </c>
      <c r="W67" s="26" t="n"/>
      <c r="X67" s="25">
        <f>IF(V67&lt;&gt;"",V67+7,"")</f>
        <v/>
      </c>
      <c r="Y67" s="26" t="n"/>
      <c r="Z67" s="25">
        <f>IF(X67&lt;&gt;"",X67+7,"")</f>
        <v/>
      </c>
      <c r="AA67" s="26" t="n"/>
      <c r="AB67" s="25">
        <f>IF(Z67&lt;&gt;"",Z67+7,"")</f>
        <v/>
      </c>
      <c r="AC67" s="26" t="n"/>
      <c r="AD67" s="25">
        <f>IF(AB67&lt;&gt;"",AB67+7,"")</f>
        <v/>
      </c>
      <c r="AE67" s="26" t="n"/>
      <c r="AF67" s="25">
        <f>IF(AD67&lt;&gt;"",AD67+7,"")</f>
        <v/>
      </c>
      <c r="AG67" s="26" t="n"/>
      <c r="AH67" s="28">
        <f>IF(U67&lt;&gt;"",(COUNTIF(W67,"PAGADO")+COUNTIF(Y67,"PAGADO")+COUNTIF(AA67,"PAGADO")+COUNTIF(AC67,"PAGADO")+COUNTIF(AE67,"PAGADO")+COUNTIF(AG67,"PAGADO"))*U67,"")</f>
        <v/>
      </c>
      <c r="AI67" s="28">
        <f>IF(AND(P67&lt;&gt;"",AH67&lt;&gt;""),P67-AH67,IF(P67&lt;&gt;"",P67,""))</f>
        <v/>
      </c>
      <c r="AJ67" s="26" t="n"/>
      <c r="AK67" s="26" t="n"/>
      <c r="AL67" s="26" t="n"/>
      <c r="AM67" s="28" t="n"/>
      <c r="AN67" s="29" t="n"/>
    </row>
    <row r="68" ht="20" customHeight="1">
      <c r="A68" s="30">
        <f>IF(C68&lt;&gt;"",ROW()-3,"")</f>
        <v/>
      </c>
      <c r="B68" s="31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3" t="n"/>
      <c r="N68" s="34" t="n"/>
      <c r="O68" s="34" t="n"/>
      <c r="P68" s="34">
        <f>IF(AND(Q68="SÍ",N68&lt;&gt;"",O68&lt;&gt;""),N68-O68,"")</f>
        <v/>
      </c>
      <c r="Q68" s="32" t="n"/>
      <c r="R68" s="32" t="n"/>
      <c r="S68" s="32" t="n"/>
      <c r="T68" s="32">
        <f>IF(S68&lt;&gt;"",CHOOSE(WEEKDAY(S68,2),"Lunes","Martes","Miércoles","Jueves","Viernes","Sábado","Domingo"),"")</f>
        <v/>
      </c>
      <c r="U68" s="34">
        <f>IF(AND(P68&lt;&gt;"",R68&gt;0),ROUND(P68/R68,2),"")</f>
        <v/>
      </c>
      <c r="V68" s="31">
        <f>IF(AND(Q68="SÍ",S68&lt;&gt;""),S68,"")</f>
        <v/>
      </c>
      <c r="W68" s="32" t="n"/>
      <c r="X68" s="31">
        <f>IF(V68&lt;&gt;"",V68+7,"")</f>
        <v/>
      </c>
      <c r="Y68" s="32" t="n"/>
      <c r="Z68" s="31">
        <f>IF(X68&lt;&gt;"",X68+7,"")</f>
        <v/>
      </c>
      <c r="AA68" s="32" t="n"/>
      <c r="AB68" s="31">
        <f>IF(Z68&lt;&gt;"",Z68+7,"")</f>
        <v/>
      </c>
      <c r="AC68" s="32" t="n"/>
      <c r="AD68" s="31">
        <f>IF(AB68&lt;&gt;"",AB68+7,"")</f>
        <v/>
      </c>
      <c r="AE68" s="32" t="n"/>
      <c r="AF68" s="31">
        <f>IF(AD68&lt;&gt;"",AD68+7,"")</f>
        <v/>
      </c>
      <c r="AG68" s="32" t="n"/>
      <c r="AH68" s="34">
        <f>IF(U68&lt;&gt;"",(COUNTIF(W68,"PAGADO")+COUNTIF(Y68,"PAGADO")+COUNTIF(AA68,"PAGADO")+COUNTIF(AC68,"PAGADO")+COUNTIF(AE68,"PAGADO")+COUNTIF(AG68,"PAGADO"))*U68,"")</f>
        <v/>
      </c>
      <c r="AI68" s="34">
        <f>IF(AND(P68&lt;&gt;"",AH68&lt;&gt;""),P68-AH68,IF(P68&lt;&gt;"",P68,""))</f>
        <v/>
      </c>
      <c r="AJ68" s="32" t="n"/>
      <c r="AK68" s="32" t="n"/>
      <c r="AL68" s="32" t="n"/>
      <c r="AM68" s="34" t="n"/>
      <c r="AN68" s="35" t="n"/>
    </row>
    <row r="69" ht="20" customHeight="1">
      <c r="A69" s="24">
        <f>IF(C69&lt;&gt;"",ROW()-3,"")</f>
        <v/>
      </c>
      <c r="B69" s="25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7" t="n"/>
      <c r="N69" s="28" t="n"/>
      <c r="O69" s="28" t="n"/>
      <c r="P69" s="28">
        <f>IF(AND(Q69="SÍ",N69&lt;&gt;"",O69&lt;&gt;""),N69-O69,"")</f>
        <v/>
      </c>
      <c r="Q69" s="26" t="n"/>
      <c r="R69" s="26" t="n"/>
      <c r="S69" s="26" t="n"/>
      <c r="T69" s="26">
        <f>IF(S69&lt;&gt;"",CHOOSE(WEEKDAY(S69,2),"Lunes","Martes","Miércoles","Jueves","Viernes","Sábado","Domingo"),"")</f>
        <v/>
      </c>
      <c r="U69" s="28">
        <f>IF(AND(P69&lt;&gt;"",R69&gt;0),ROUND(P69/R69,2),"")</f>
        <v/>
      </c>
      <c r="V69" s="25">
        <f>IF(AND(Q69="SÍ",S69&lt;&gt;""),S69,"")</f>
        <v/>
      </c>
      <c r="W69" s="26" t="n"/>
      <c r="X69" s="25">
        <f>IF(V69&lt;&gt;"",V69+7,"")</f>
        <v/>
      </c>
      <c r="Y69" s="26" t="n"/>
      <c r="Z69" s="25">
        <f>IF(X69&lt;&gt;"",X69+7,"")</f>
        <v/>
      </c>
      <c r="AA69" s="26" t="n"/>
      <c r="AB69" s="25">
        <f>IF(Z69&lt;&gt;"",Z69+7,"")</f>
        <v/>
      </c>
      <c r="AC69" s="26" t="n"/>
      <c r="AD69" s="25">
        <f>IF(AB69&lt;&gt;"",AB69+7,"")</f>
        <v/>
      </c>
      <c r="AE69" s="26" t="n"/>
      <c r="AF69" s="25">
        <f>IF(AD69&lt;&gt;"",AD69+7,"")</f>
        <v/>
      </c>
      <c r="AG69" s="26" t="n"/>
      <c r="AH69" s="28">
        <f>IF(U69&lt;&gt;"",(COUNTIF(W69,"PAGADO")+COUNTIF(Y69,"PAGADO")+COUNTIF(AA69,"PAGADO")+COUNTIF(AC69,"PAGADO")+COUNTIF(AE69,"PAGADO")+COUNTIF(AG69,"PAGADO"))*U69,"")</f>
        <v/>
      </c>
      <c r="AI69" s="28">
        <f>IF(AND(P69&lt;&gt;"",AH69&lt;&gt;""),P69-AH69,IF(P69&lt;&gt;"",P69,""))</f>
        <v/>
      </c>
      <c r="AJ69" s="26" t="n"/>
      <c r="AK69" s="26" t="n"/>
      <c r="AL69" s="26" t="n"/>
      <c r="AM69" s="28" t="n"/>
      <c r="AN69" s="29" t="n"/>
    </row>
    <row r="70" ht="20" customHeight="1">
      <c r="A70" s="30">
        <f>IF(C70&lt;&gt;"",ROW()-3,"")</f>
        <v/>
      </c>
      <c r="B70" s="31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3" t="n"/>
      <c r="N70" s="34" t="n"/>
      <c r="O70" s="34" t="n"/>
      <c r="P70" s="34">
        <f>IF(AND(Q70="SÍ",N70&lt;&gt;"",O70&lt;&gt;""),N70-O70,"")</f>
        <v/>
      </c>
      <c r="Q70" s="32" t="n"/>
      <c r="R70" s="32" t="n"/>
      <c r="S70" s="32" t="n"/>
      <c r="T70" s="32">
        <f>IF(S70&lt;&gt;"",CHOOSE(WEEKDAY(S70,2),"Lunes","Martes","Miércoles","Jueves","Viernes","Sábado","Domingo"),"")</f>
        <v/>
      </c>
      <c r="U70" s="34">
        <f>IF(AND(P70&lt;&gt;"",R70&gt;0),ROUND(P70/R70,2),"")</f>
        <v/>
      </c>
      <c r="V70" s="31">
        <f>IF(AND(Q70="SÍ",S70&lt;&gt;""),S70,"")</f>
        <v/>
      </c>
      <c r="W70" s="32" t="n"/>
      <c r="X70" s="31">
        <f>IF(V70&lt;&gt;"",V70+7,"")</f>
        <v/>
      </c>
      <c r="Y70" s="32" t="n"/>
      <c r="Z70" s="31">
        <f>IF(X70&lt;&gt;"",X70+7,"")</f>
        <v/>
      </c>
      <c r="AA70" s="32" t="n"/>
      <c r="AB70" s="31">
        <f>IF(Z70&lt;&gt;"",Z70+7,"")</f>
        <v/>
      </c>
      <c r="AC70" s="32" t="n"/>
      <c r="AD70" s="31">
        <f>IF(AB70&lt;&gt;"",AB70+7,"")</f>
        <v/>
      </c>
      <c r="AE70" s="32" t="n"/>
      <c r="AF70" s="31">
        <f>IF(AD70&lt;&gt;"",AD70+7,"")</f>
        <v/>
      </c>
      <c r="AG70" s="32" t="n"/>
      <c r="AH70" s="34">
        <f>IF(U70&lt;&gt;"",(COUNTIF(W70,"PAGADO")+COUNTIF(Y70,"PAGADO")+COUNTIF(AA70,"PAGADO")+COUNTIF(AC70,"PAGADO")+COUNTIF(AE70,"PAGADO")+COUNTIF(AG70,"PAGADO"))*U70,"")</f>
        <v/>
      </c>
      <c r="AI70" s="34">
        <f>IF(AND(P70&lt;&gt;"",AH70&lt;&gt;""),P70-AH70,IF(P70&lt;&gt;"",P70,""))</f>
        <v/>
      </c>
      <c r="AJ70" s="32" t="n"/>
      <c r="AK70" s="32" t="n"/>
      <c r="AL70" s="32" t="n"/>
      <c r="AM70" s="34" t="n"/>
      <c r="AN70" s="35" t="n"/>
    </row>
    <row r="71" ht="20" customHeight="1">
      <c r="A71" s="24">
        <f>IF(C71&lt;&gt;"",ROW()-3,"")</f>
        <v/>
      </c>
      <c r="B71" s="25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7" t="n"/>
      <c r="N71" s="28" t="n"/>
      <c r="O71" s="28" t="n"/>
      <c r="P71" s="28">
        <f>IF(AND(Q71="SÍ",N71&lt;&gt;"",O71&lt;&gt;""),N71-O71,"")</f>
        <v/>
      </c>
      <c r="Q71" s="26" t="n"/>
      <c r="R71" s="26" t="n"/>
      <c r="S71" s="26" t="n"/>
      <c r="T71" s="26">
        <f>IF(S71&lt;&gt;"",CHOOSE(WEEKDAY(S71,2),"Lunes","Martes","Miércoles","Jueves","Viernes","Sábado","Domingo"),"")</f>
        <v/>
      </c>
      <c r="U71" s="28">
        <f>IF(AND(P71&lt;&gt;"",R71&gt;0),ROUND(P71/R71,2),"")</f>
        <v/>
      </c>
      <c r="V71" s="25">
        <f>IF(AND(Q71="SÍ",S71&lt;&gt;""),S71,"")</f>
        <v/>
      </c>
      <c r="W71" s="26" t="n"/>
      <c r="X71" s="25">
        <f>IF(V71&lt;&gt;"",V71+7,"")</f>
        <v/>
      </c>
      <c r="Y71" s="26" t="n"/>
      <c r="Z71" s="25">
        <f>IF(X71&lt;&gt;"",X71+7,"")</f>
        <v/>
      </c>
      <c r="AA71" s="26" t="n"/>
      <c r="AB71" s="25">
        <f>IF(Z71&lt;&gt;"",Z71+7,"")</f>
        <v/>
      </c>
      <c r="AC71" s="26" t="n"/>
      <c r="AD71" s="25">
        <f>IF(AB71&lt;&gt;"",AB71+7,"")</f>
        <v/>
      </c>
      <c r="AE71" s="26" t="n"/>
      <c r="AF71" s="25">
        <f>IF(AD71&lt;&gt;"",AD71+7,"")</f>
        <v/>
      </c>
      <c r="AG71" s="26" t="n"/>
      <c r="AH71" s="28">
        <f>IF(U71&lt;&gt;"",(COUNTIF(W71,"PAGADO")+COUNTIF(Y71,"PAGADO")+COUNTIF(AA71,"PAGADO")+COUNTIF(AC71,"PAGADO")+COUNTIF(AE71,"PAGADO")+COUNTIF(AG71,"PAGADO"))*U71,"")</f>
        <v/>
      </c>
      <c r="AI71" s="28">
        <f>IF(AND(P71&lt;&gt;"",AH71&lt;&gt;""),P71-AH71,IF(P71&lt;&gt;"",P71,""))</f>
        <v/>
      </c>
      <c r="AJ71" s="26" t="n"/>
      <c r="AK71" s="26" t="n"/>
      <c r="AL71" s="26" t="n"/>
      <c r="AM71" s="28" t="n"/>
      <c r="AN71" s="29" t="n"/>
    </row>
    <row r="72" ht="20" customHeight="1">
      <c r="A72" s="30">
        <f>IF(C72&lt;&gt;"",ROW()-3,"")</f>
        <v/>
      </c>
      <c r="B72" s="31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3" t="n"/>
      <c r="N72" s="34" t="n"/>
      <c r="O72" s="34" t="n"/>
      <c r="P72" s="34">
        <f>IF(AND(Q72="SÍ",N72&lt;&gt;"",O72&lt;&gt;""),N72-O72,"")</f>
        <v/>
      </c>
      <c r="Q72" s="32" t="n"/>
      <c r="R72" s="32" t="n"/>
      <c r="S72" s="32" t="n"/>
      <c r="T72" s="32">
        <f>IF(S72&lt;&gt;"",CHOOSE(WEEKDAY(S72,2),"Lunes","Martes","Miércoles","Jueves","Viernes","Sábado","Domingo"),"")</f>
        <v/>
      </c>
      <c r="U72" s="34">
        <f>IF(AND(P72&lt;&gt;"",R72&gt;0),ROUND(P72/R72,2),"")</f>
        <v/>
      </c>
      <c r="V72" s="31">
        <f>IF(AND(Q72="SÍ",S72&lt;&gt;""),S72,"")</f>
        <v/>
      </c>
      <c r="W72" s="32" t="n"/>
      <c r="X72" s="31">
        <f>IF(V72&lt;&gt;"",V72+7,"")</f>
        <v/>
      </c>
      <c r="Y72" s="32" t="n"/>
      <c r="Z72" s="31">
        <f>IF(X72&lt;&gt;"",X72+7,"")</f>
        <v/>
      </c>
      <c r="AA72" s="32" t="n"/>
      <c r="AB72" s="31">
        <f>IF(Z72&lt;&gt;"",Z72+7,"")</f>
        <v/>
      </c>
      <c r="AC72" s="32" t="n"/>
      <c r="AD72" s="31">
        <f>IF(AB72&lt;&gt;"",AB72+7,"")</f>
        <v/>
      </c>
      <c r="AE72" s="32" t="n"/>
      <c r="AF72" s="31">
        <f>IF(AD72&lt;&gt;"",AD72+7,"")</f>
        <v/>
      </c>
      <c r="AG72" s="32" t="n"/>
      <c r="AH72" s="34">
        <f>IF(U72&lt;&gt;"",(COUNTIF(W72,"PAGADO")+COUNTIF(Y72,"PAGADO")+COUNTIF(AA72,"PAGADO")+COUNTIF(AC72,"PAGADO")+COUNTIF(AE72,"PAGADO")+COUNTIF(AG72,"PAGADO"))*U72,"")</f>
        <v/>
      </c>
      <c r="AI72" s="34">
        <f>IF(AND(P72&lt;&gt;"",AH72&lt;&gt;""),P72-AH72,IF(P72&lt;&gt;"",P72,""))</f>
        <v/>
      </c>
      <c r="AJ72" s="32" t="n"/>
      <c r="AK72" s="32" t="n"/>
      <c r="AL72" s="32" t="n"/>
      <c r="AM72" s="34" t="n"/>
      <c r="AN72" s="35" t="n"/>
    </row>
    <row r="73" ht="20" customHeight="1">
      <c r="A73" s="24">
        <f>IF(C73&lt;&gt;"",ROW()-3,"")</f>
        <v/>
      </c>
      <c r="B73" s="25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7" t="n"/>
      <c r="N73" s="28" t="n"/>
      <c r="O73" s="28" t="n"/>
      <c r="P73" s="28">
        <f>IF(AND(Q73="SÍ",N73&lt;&gt;"",O73&lt;&gt;""),N73-O73,"")</f>
        <v/>
      </c>
      <c r="Q73" s="26" t="n"/>
      <c r="R73" s="26" t="n"/>
      <c r="S73" s="26" t="n"/>
      <c r="T73" s="26">
        <f>IF(S73&lt;&gt;"",CHOOSE(WEEKDAY(S73,2),"Lunes","Martes","Miércoles","Jueves","Viernes","Sábado","Domingo"),"")</f>
        <v/>
      </c>
      <c r="U73" s="28">
        <f>IF(AND(P73&lt;&gt;"",R73&gt;0),ROUND(P73/R73,2),"")</f>
        <v/>
      </c>
      <c r="V73" s="25">
        <f>IF(AND(Q73="SÍ",S73&lt;&gt;""),S73,"")</f>
        <v/>
      </c>
      <c r="W73" s="26" t="n"/>
      <c r="X73" s="25">
        <f>IF(V73&lt;&gt;"",V73+7,"")</f>
        <v/>
      </c>
      <c r="Y73" s="26" t="n"/>
      <c r="Z73" s="25">
        <f>IF(X73&lt;&gt;"",X73+7,"")</f>
        <v/>
      </c>
      <c r="AA73" s="26" t="n"/>
      <c r="AB73" s="25">
        <f>IF(Z73&lt;&gt;"",Z73+7,"")</f>
        <v/>
      </c>
      <c r="AC73" s="26" t="n"/>
      <c r="AD73" s="25">
        <f>IF(AB73&lt;&gt;"",AB73+7,"")</f>
        <v/>
      </c>
      <c r="AE73" s="26" t="n"/>
      <c r="AF73" s="25">
        <f>IF(AD73&lt;&gt;"",AD73+7,"")</f>
        <v/>
      </c>
      <c r="AG73" s="26" t="n"/>
      <c r="AH73" s="28">
        <f>IF(U73&lt;&gt;"",(COUNTIF(W73,"PAGADO")+COUNTIF(Y73,"PAGADO")+COUNTIF(AA73,"PAGADO")+COUNTIF(AC73,"PAGADO")+COUNTIF(AE73,"PAGADO")+COUNTIF(AG73,"PAGADO"))*U73,"")</f>
        <v/>
      </c>
      <c r="AI73" s="28">
        <f>IF(AND(P73&lt;&gt;"",AH73&lt;&gt;""),P73-AH73,IF(P73&lt;&gt;"",P73,""))</f>
        <v/>
      </c>
      <c r="AJ73" s="26" t="n"/>
      <c r="AK73" s="26" t="n"/>
      <c r="AL73" s="26" t="n"/>
      <c r="AM73" s="28" t="n"/>
      <c r="AN73" s="29" t="n"/>
    </row>
    <row r="74" ht="20" customHeight="1">
      <c r="A74" s="30">
        <f>IF(C74&lt;&gt;"",ROW()-3,"")</f>
        <v/>
      </c>
      <c r="B74" s="31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3" t="n"/>
      <c r="N74" s="34" t="n"/>
      <c r="O74" s="34" t="n"/>
      <c r="P74" s="34">
        <f>IF(AND(Q74="SÍ",N74&lt;&gt;"",O74&lt;&gt;""),N74-O74,"")</f>
        <v/>
      </c>
      <c r="Q74" s="32" t="n"/>
      <c r="R74" s="32" t="n"/>
      <c r="S74" s="32" t="n"/>
      <c r="T74" s="32">
        <f>IF(S74&lt;&gt;"",CHOOSE(WEEKDAY(S74,2),"Lunes","Martes","Miércoles","Jueves","Viernes","Sábado","Domingo"),"")</f>
        <v/>
      </c>
      <c r="U74" s="34">
        <f>IF(AND(P74&lt;&gt;"",R74&gt;0),ROUND(P74/R74,2),"")</f>
        <v/>
      </c>
      <c r="V74" s="31">
        <f>IF(AND(Q74="SÍ",S74&lt;&gt;""),S74,"")</f>
        <v/>
      </c>
      <c r="W74" s="32" t="n"/>
      <c r="X74" s="31">
        <f>IF(V74&lt;&gt;"",V74+7,"")</f>
        <v/>
      </c>
      <c r="Y74" s="32" t="n"/>
      <c r="Z74" s="31">
        <f>IF(X74&lt;&gt;"",X74+7,"")</f>
        <v/>
      </c>
      <c r="AA74" s="32" t="n"/>
      <c r="AB74" s="31">
        <f>IF(Z74&lt;&gt;"",Z74+7,"")</f>
        <v/>
      </c>
      <c r="AC74" s="32" t="n"/>
      <c r="AD74" s="31">
        <f>IF(AB74&lt;&gt;"",AB74+7,"")</f>
        <v/>
      </c>
      <c r="AE74" s="32" t="n"/>
      <c r="AF74" s="31">
        <f>IF(AD74&lt;&gt;"",AD74+7,"")</f>
        <v/>
      </c>
      <c r="AG74" s="32" t="n"/>
      <c r="AH74" s="34">
        <f>IF(U74&lt;&gt;"",(COUNTIF(W74,"PAGADO")+COUNTIF(Y74,"PAGADO")+COUNTIF(AA74,"PAGADO")+COUNTIF(AC74,"PAGADO")+COUNTIF(AE74,"PAGADO")+COUNTIF(AG74,"PAGADO"))*U74,"")</f>
        <v/>
      </c>
      <c r="AI74" s="34">
        <f>IF(AND(P74&lt;&gt;"",AH74&lt;&gt;""),P74-AH74,IF(P74&lt;&gt;"",P74,""))</f>
        <v/>
      </c>
      <c r="AJ74" s="32" t="n"/>
      <c r="AK74" s="32" t="n"/>
      <c r="AL74" s="32" t="n"/>
      <c r="AM74" s="34" t="n"/>
      <c r="AN74" s="35" t="n"/>
    </row>
    <row r="75" ht="20" customHeight="1">
      <c r="A75" s="24">
        <f>IF(C75&lt;&gt;"",ROW()-3,"")</f>
        <v/>
      </c>
      <c r="B75" s="25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7" t="n"/>
      <c r="N75" s="28" t="n"/>
      <c r="O75" s="28" t="n"/>
      <c r="P75" s="28">
        <f>IF(AND(Q75="SÍ",N75&lt;&gt;"",O75&lt;&gt;""),N75-O75,"")</f>
        <v/>
      </c>
      <c r="Q75" s="26" t="n"/>
      <c r="R75" s="26" t="n"/>
      <c r="S75" s="26" t="n"/>
      <c r="T75" s="26">
        <f>IF(S75&lt;&gt;"",CHOOSE(WEEKDAY(S75,2),"Lunes","Martes","Miércoles","Jueves","Viernes","Sábado","Domingo"),"")</f>
        <v/>
      </c>
      <c r="U75" s="28">
        <f>IF(AND(P75&lt;&gt;"",R75&gt;0),ROUND(P75/R75,2),"")</f>
        <v/>
      </c>
      <c r="V75" s="25">
        <f>IF(AND(Q75="SÍ",S75&lt;&gt;""),S75,"")</f>
        <v/>
      </c>
      <c r="W75" s="26" t="n"/>
      <c r="X75" s="25">
        <f>IF(V75&lt;&gt;"",V75+7,"")</f>
        <v/>
      </c>
      <c r="Y75" s="26" t="n"/>
      <c r="Z75" s="25">
        <f>IF(X75&lt;&gt;"",X75+7,"")</f>
        <v/>
      </c>
      <c r="AA75" s="26" t="n"/>
      <c r="AB75" s="25">
        <f>IF(Z75&lt;&gt;"",Z75+7,"")</f>
        <v/>
      </c>
      <c r="AC75" s="26" t="n"/>
      <c r="AD75" s="25">
        <f>IF(AB75&lt;&gt;"",AB75+7,"")</f>
        <v/>
      </c>
      <c r="AE75" s="26" t="n"/>
      <c r="AF75" s="25">
        <f>IF(AD75&lt;&gt;"",AD75+7,"")</f>
        <v/>
      </c>
      <c r="AG75" s="26" t="n"/>
      <c r="AH75" s="28">
        <f>IF(U75&lt;&gt;"",(COUNTIF(W75,"PAGADO")+COUNTIF(Y75,"PAGADO")+COUNTIF(AA75,"PAGADO")+COUNTIF(AC75,"PAGADO")+COUNTIF(AE75,"PAGADO")+COUNTIF(AG75,"PAGADO"))*U75,"")</f>
        <v/>
      </c>
      <c r="AI75" s="28">
        <f>IF(AND(P75&lt;&gt;"",AH75&lt;&gt;""),P75-AH75,IF(P75&lt;&gt;"",P75,""))</f>
        <v/>
      </c>
      <c r="AJ75" s="26" t="n"/>
      <c r="AK75" s="26" t="n"/>
      <c r="AL75" s="26" t="n"/>
      <c r="AM75" s="28" t="n"/>
      <c r="AN75" s="29" t="n"/>
    </row>
    <row r="76" ht="20" customHeight="1">
      <c r="A76" s="30">
        <f>IF(C76&lt;&gt;"",ROW()-3,"")</f>
        <v/>
      </c>
      <c r="B76" s="31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3" t="n"/>
      <c r="N76" s="34" t="n"/>
      <c r="O76" s="34" t="n"/>
      <c r="P76" s="34">
        <f>IF(AND(Q76="SÍ",N76&lt;&gt;"",O76&lt;&gt;""),N76-O76,"")</f>
        <v/>
      </c>
      <c r="Q76" s="32" t="n"/>
      <c r="R76" s="32" t="n"/>
      <c r="S76" s="32" t="n"/>
      <c r="T76" s="32">
        <f>IF(S76&lt;&gt;"",CHOOSE(WEEKDAY(S76,2),"Lunes","Martes","Miércoles","Jueves","Viernes","Sábado","Domingo"),"")</f>
        <v/>
      </c>
      <c r="U76" s="34">
        <f>IF(AND(P76&lt;&gt;"",R76&gt;0),ROUND(P76/R76,2),"")</f>
        <v/>
      </c>
      <c r="V76" s="31">
        <f>IF(AND(Q76="SÍ",S76&lt;&gt;""),S76,"")</f>
        <v/>
      </c>
      <c r="W76" s="32" t="n"/>
      <c r="X76" s="31">
        <f>IF(V76&lt;&gt;"",V76+7,"")</f>
        <v/>
      </c>
      <c r="Y76" s="32" t="n"/>
      <c r="Z76" s="31">
        <f>IF(X76&lt;&gt;"",X76+7,"")</f>
        <v/>
      </c>
      <c r="AA76" s="32" t="n"/>
      <c r="AB76" s="31">
        <f>IF(Z76&lt;&gt;"",Z76+7,"")</f>
        <v/>
      </c>
      <c r="AC76" s="32" t="n"/>
      <c r="AD76" s="31">
        <f>IF(AB76&lt;&gt;"",AB76+7,"")</f>
        <v/>
      </c>
      <c r="AE76" s="32" t="n"/>
      <c r="AF76" s="31">
        <f>IF(AD76&lt;&gt;"",AD76+7,"")</f>
        <v/>
      </c>
      <c r="AG76" s="32" t="n"/>
      <c r="AH76" s="34">
        <f>IF(U76&lt;&gt;"",(COUNTIF(W76,"PAGADO")+COUNTIF(Y76,"PAGADO")+COUNTIF(AA76,"PAGADO")+COUNTIF(AC76,"PAGADO")+COUNTIF(AE76,"PAGADO")+COUNTIF(AG76,"PAGADO"))*U76,"")</f>
        <v/>
      </c>
      <c r="AI76" s="34">
        <f>IF(AND(P76&lt;&gt;"",AH76&lt;&gt;""),P76-AH76,IF(P76&lt;&gt;"",P76,""))</f>
        <v/>
      </c>
      <c r="AJ76" s="32" t="n"/>
      <c r="AK76" s="32" t="n"/>
      <c r="AL76" s="32" t="n"/>
      <c r="AM76" s="34" t="n"/>
      <c r="AN76" s="35" t="n"/>
    </row>
    <row r="77" ht="20" customHeight="1">
      <c r="A77" s="24">
        <f>IF(C77&lt;&gt;"",ROW()-3,"")</f>
        <v/>
      </c>
      <c r="B77" s="25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7" t="n"/>
      <c r="N77" s="28" t="n"/>
      <c r="O77" s="28" t="n"/>
      <c r="P77" s="28">
        <f>IF(AND(Q77="SÍ",N77&lt;&gt;"",O77&lt;&gt;""),N77-O77,"")</f>
        <v/>
      </c>
      <c r="Q77" s="26" t="n"/>
      <c r="R77" s="26" t="n"/>
      <c r="S77" s="26" t="n"/>
      <c r="T77" s="26">
        <f>IF(S77&lt;&gt;"",CHOOSE(WEEKDAY(S77,2),"Lunes","Martes","Miércoles","Jueves","Viernes","Sábado","Domingo"),"")</f>
        <v/>
      </c>
      <c r="U77" s="28">
        <f>IF(AND(P77&lt;&gt;"",R77&gt;0),ROUND(P77/R77,2),"")</f>
        <v/>
      </c>
      <c r="V77" s="25">
        <f>IF(AND(Q77="SÍ",S77&lt;&gt;""),S77,"")</f>
        <v/>
      </c>
      <c r="W77" s="26" t="n"/>
      <c r="X77" s="25">
        <f>IF(V77&lt;&gt;"",V77+7,"")</f>
        <v/>
      </c>
      <c r="Y77" s="26" t="n"/>
      <c r="Z77" s="25">
        <f>IF(X77&lt;&gt;"",X77+7,"")</f>
        <v/>
      </c>
      <c r="AA77" s="26" t="n"/>
      <c r="AB77" s="25">
        <f>IF(Z77&lt;&gt;"",Z77+7,"")</f>
        <v/>
      </c>
      <c r="AC77" s="26" t="n"/>
      <c r="AD77" s="25">
        <f>IF(AB77&lt;&gt;"",AB77+7,"")</f>
        <v/>
      </c>
      <c r="AE77" s="26" t="n"/>
      <c r="AF77" s="25">
        <f>IF(AD77&lt;&gt;"",AD77+7,"")</f>
        <v/>
      </c>
      <c r="AG77" s="26" t="n"/>
      <c r="AH77" s="28">
        <f>IF(U77&lt;&gt;"",(COUNTIF(W77,"PAGADO")+COUNTIF(Y77,"PAGADO")+COUNTIF(AA77,"PAGADO")+COUNTIF(AC77,"PAGADO")+COUNTIF(AE77,"PAGADO")+COUNTIF(AG77,"PAGADO"))*U77,"")</f>
        <v/>
      </c>
      <c r="AI77" s="28">
        <f>IF(AND(P77&lt;&gt;"",AH77&lt;&gt;""),P77-AH77,IF(P77&lt;&gt;"",P77,""))</f>
        <v/>
      </c>
      <c r="AJ77" s="26" t="n"/>
      <c r="AK77" s="26" t="n"/>
      <c r="AL77" s="26" t="n"/>
      <c r="AM77" s="28" t="n"/>
      <c r="AN77" s="29" t="n"/>
    </row>
    <row r="78" ht="20" customHeight="1">
      <c r="A78" s="30">
        <f>IF(C78&lt;&gt;"",ROW()-3,"")</f>
        <v/>
      </c>
      <c r="B78" s="31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3" t="n"/>
      <c r="N78" s="34" t="n"/>
      <c r="O78" s="34" t="n"/>
      <c r="P78" s="34">
        <f>IF(AND(Q78="SÍ",N78&lt;&gt;"",O78&lt;&gt;""),N78-O78,"")</f>
        <v/>
      </c>
      <c r="Q78" s="32" t="n"/>
      <c r="R78" s="32" t="n"/>
      <c r="S78" s="32" t="n"/>
      <c r="T78" s="32">
        <f>IF(S78&lt;&gt;"",CHOOSE(WEEKDAY(S78,2),"Lunes","Martes","Miércoles","Jueves","Viernes","Sábado","Domingo"),"")</f>
        <v/>
      </c>
      <c r="U78" s="34">
        <f>IF(AND(P78&lt;&gt;"",R78&gt;0),ROUND(P78/R78,2),"")</f>
        <v/>
      </c>
      <c r="V78" s="31">
        <f>IF(AND(Q78="SÍ",S78&lt;&gt;""),S78,"")</f>
        <v/>
      </c>
      <c r="W78" s="32" t="n"/>
      <c r="X78" s="31">
        <f>IF(V78&lt;&gt;"",V78+7,"")</f>
        <v/>
      </c>
      <c r="Y78" s="32" t="n"/>
      <c r="Z78" s="31">
        <f>IF(X78&lt;&gt;"",X78+7,"")</f>
        <v/>
      </c>
      <c r="AA78" s="32" t="n"/>
      <c r="AB78" s="31">
        <f>IF(Z78&lt;&gt;"",Z78+7,"")</f>
        <v/>
      </c>
      <c r="AC78" s="32" t="n"/>
      <c r="AD78" s="31">
        <f>IF(AB78&lt;&gt;"",AB78+7,"")</f>
        <v/>
      </c>
      <c r="AE78" s="32" t="n"/>
      <c r="AF78" s="31">
        <f>IF(AD78&lt;&gt;"",AD78+7,"")</f>
        <v/>
      </c>
      <c r="AG78" s="32" t="n"/>
      <c r="AH78" s="34">
        <f>IF(U78&lt;&gt;"",(COUNTIF(W78,"PAGADO")+COUNTIF(Y78,"PAGADO")+COUNTIF(AA78,"PAGADO")+COUNTIF(AC78,"PAGADO")+COUNTIF(AE78,"PAGADO")+COUNTIF(AG78,"PAGADO"))*U78,"")</f>
        <v/>
      </c>
      <c r="AI78" s="34">
        <f>IF(AND(P78&lt;&gt;"",AH78&lt;&gt;""),P78-AH78,IF(P78&lt;&gt;"",P78,""))</f>
        <v/>
      </c>
      <c r="AJ78" s="32" t="n"/>
      <c r="AK78" s="32" t="n"/>
      <c r="AL78" s="32" t="n"/>
      <c r="AM78" s="34" t="n"/>
      <c r="AN78" s="35" t="n"/>
    </row>
    <row r="79" ht="20" customHeight="1">
      <c r="A79" s="24">
        <f>IF(C79&lt;&gt;"",ROW()-3,"")</f>
        <v/>
      </c>
      <c r="B79" s="25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7" t="n"/>
      <c r="N79" s="28" t="n"/>
      <c r="O79" s="28" t="n"/>
      <c r="P79" s="28">
        <f>IF(AND(Q79="SÍ",N79&lt;&gt;"",O79&lt;&gt;""),N79-O79,"")</f>
        <v/>
      </c>
      <c r="Q79" s="26" t="n"/>
      <c r="R79" s="26" t="n"/>
      <c r="S79" s="26" t="n"/>
      <c r="T79" s="26">
        <f>IF(S79&lt;&gt;"",CHOOSE(WEEKDAY(S79,2),"Lunes","Martes","Miércoles","Jueves","Viernes","Sábado","Domingo"),"")</f>
        <v/>
      </c>
      <c r="U79" s="28">
        <f>IF(AND(P79&lt;&gt;"",R79&gt;0),ROUND(P79/R79,2),"")</f>
        <v/>
      </c>
      <c r="V79" s="25">
        <f>IF(AND(Q79="SÍ",S79&lt;&gt;""),S79,"")</f>
        <v/>
      </c>
      <c r="W79" s="26" t="n"/>
      <c r="X79" s="25">
        <f>IF(V79&lt;&gt;"",V79+7,"")</f>
        <v/>
      </c>
      <c r="Y79" s="26" t="n"/>
      <c r="Z79" s="25">
        <f>IF(X79&lt;&gt;"",X79+7,"")</f>
        <v/>
      </c>
      <c r="AA79" s="26" t="n"/>
      <c r="AB79" s="25">
        <f>IF(Z79&lt;&gt;"",Z79+7,"")</f>
        <v/>
      </c>
      <c r="AC79" s="26" t="n"/>
      <c r="AD79" s="25">
        <f>IF(AB79&lt;&gt;"",AB79+7,"")</f>
        <v/>
      </c>
      <c r="AE79" s="26" t="n"/>
      <c r="AF79" s="25">
        <f>IF(AD79&lt;&gt;"",AD79+7,"")</f>
        <v/>
      </c>
      <c r="AG79" s="26" t="n"/>
      <c r="AH79" s="28">
        <f>IF(U79&lt;&gt;"",(COUNTIF(W79,"PAGADO")+COUNTIF(Y79,"PAGADO")+COUNTIF(AA79,"PAGADO")+COUNTIF(AC79,"PAGADO")+COUNTIF(AE79,"PAGADO")+COUNTIF(AG79,"PAGADO"))*U79,"")</f>
        <v/>
      </c>
      <c r="AI79" s="28">
        <f>IF(AND(P79&lt;&gt;"",AH79&lt;&gt;""),P79-AH79,IF(P79&lt;&gt;"",P79,""))</f>
        <v/>
      </c>
      <c r="AJ79" s="26" t="n"/>
      <c r="AK79" s="26" t="n"/>
      <c r="AL79" s="26" t="n"/>
      <c r="AM79" s="28" t="n"/>
      <c r="AN79" s="29" t="n"/>
    </row>
    <row r="80" ht="20" customHeight="1">
      <c r="A80" s="30">
        <f>IF(C80&lt;&gt;"",ROW()-3,"")</f>
        <v/>
      </c>
      <c r="B80" s="31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3" t="n"/>
      <c r="N80" s="34" t="n"/>
      <c r="O80" s="34" t="n"/>
      <c r="P80" s="34">
        <f>IF(AND(Q80="SÍ",N80&lt;&gt;"",O80&lt;&gt;""),N80-O80,"")</f>
        <v/>
      </c>
      <c r="Q80" s="32" t="n"/>
      <c r="R80" s="32" t="n"/>
      <c r="S80" s="32" t="n"/>
      <c r="T80" s="32">
        <f>IF(S80&lt;&gt;"",CHOOSE(WEEKDAY(S80,2),"Lunes","Martes","Miércoles","Jueves","Viernes","Sábado","Domingo"),"")</f>
        <v/>
      </c>
      <c r="U80" s="34">
        <f>IF(AND(P80&lt;&gt;"",R80&gt;0),ROUND(P80/R80,2),"")</f>
        <v/>
      </c>
      <c r="V80" s="31">
        <f>IF(AND(Q80="SÍ",S80&lt;&gt;""),S80,"")</f>
        <v/>
      </c>
      <c r="W80" s="32" t="n"/>
      <c r="X80" s="31">
        <f>IF(V80&lt;&gt;"",V80+7,"")</f>
        <v/>
      </c>
      <c r="Y80" s="32" t="n"/>
      <c r="Z80" s="31">
        <f>IF(X80&lt;&gt;"",X80+7,"")</f>
        <v/>
      </c>
      <c r="AA80" s="32" t="n"/>
      <c r="AB80" s="31">
        <f>IF(Z80&lt;&gt;"",Z80+7,"")</f>
        <v/>
      </c>
      <c r="AC80" s="32" t="n"/>
      <c r="AD80" s="31">
        <f>IF(AB80&lt;&gt;"",AB80+7,"")</f>
        <v/>
      </c>
      <c r="AE80" s="32" t="n"/>
      <c r="AF80" s="31">
        <f>IF(AD80&lt;&gt;"",AD80+7,"")</f>
        <v/>
      </c>
      <c r="AG80" s="32" t="n"/>
      <c r="AH80" s="34">
        <f>IF(U80&lt;&gt;"",(COUNTIF(W80,"PAGADO")+COUNTIF(Y80,"PAGADO")+COUNTIF(AA80,"PAGADO")+COUNTIF(AC80,"PAGADO")+COUNTIF(AE80,"PAGADO")+COUNTIF(AG80,"PAGADO"))*U80,"")</f>
        <v/>
      </c>
      <c r="AI80" s="34">
        <f>IF(AND(P80&lt;&gt;"",AH80&lt;&gt;""),P80-AH80,IF(P80&lt;&gt;"",P80,""))</f>
        <v/>
      </c>
      <c r="AJ80" s="32" t="n"/>
      <c r="AK80" s="32" t="n"/>
      <c r="AL80" s="32" t="n"/>
      <c r="AM80" s="34" t="n"/>
      <c r="AN80" s="35" t="n"/>
    </row>
    <row r="81" ht="20" customHeight="1">
      <c r="A81" s="24">
        <f>IF(C81&lt;&gt;"",ROW()-3,"")</f>
        <v/>
      </c>
      <c r="B81" s="25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7" t="n"/>
      <c r="N81" s="28" t="n"/>
      <c r="O81" s="28" t="n"/>
      <c r="P81" s="28">
        <f>IF(AND(Q81="SÍ",N81&lt;&gt;"",O81&lt;&gt;""),N81-O81,"")</f>
        <v/>
      </c>
      <c r="Q81" s="26" t="n"/>
      <c r="R81" s="26" t="n"/>
      <c r="S81" s="26" t="n"/>
      <c r="T81" s="26">
        <f>IF(S81&lt;&gt;"",CHOOSE(WEEKDAY(S81,2),"Lunes","Martes","Miércoles","Jueves","Viernes","Sábado","Domingo"),"")</f>
        <v/>
      </c>
      <c r="U81" s="28">
        <f>IF(AND(P81&lt;&gt;"",R81&gt;0),ROUND(P81/R81,2),"")</f>
        <v/>
      </c>
      <c r="V81" s="25">
        <f>IF(AND(Q81="SÍ",S81&lt;&gt;""),S81,"")</f>
        <v/>
      </c>
      <c r="W81" s="26" t="n"/>
      <c r="X81" s="25">
        <f>IF(V81&lt;&gt;"",V81+7,"")</f>
        <v/>
      </c>
      <c r="Y81" s="26" t="n"/>
      <c r="Z81" s="25">
        <f>IF(X81&lt;&gt;"",X81+7,"")</f>
        <v/>
      </c>
      <c r="AA81" s="26" t="n"/>
      <c r="AB81" s="25">
        <f>IF(Z81&lt;&gt;"",Z81+7,"")</f>
        <v/>
      </c>
      <c r="AC81" s="26" t="n"/>
      <c r="AD81" s="25">
        <f>IF(AB81&lt;&gt;"",AB81+7,"")</f>
        <v/>
      </c>
      <c r="AE81" s="26" t="n"/>
      <c r="AF81" s="25">
        <f>IF(AD81&lt;&gt;"",AD81+7,"")</f>
        <v/>
      </c>
      <c r="AG81" s="26" t="n"/>
      <c r="AH81" s="28">
        <f>IF(U81&lt;&gt;"",(COUNTIF(W81,"PAGADO")+COUNTIF(Y81,"PAGADO")+COUNTIF(AA81,"PAGADO")+COUNTIF(AC81,"PAGADO")+COUNTIF(AE81,"PAGADO")+COUNTIF(AG81,"PAGADO"))*U81,"")</f>
        <v/>
      </c>
      <c r="AI81" s="28">
        <f>IF(AND(P81&lt;&gt;"",AH81&lt;&gt;""),P81-AH81,IF(P81&lt;&gt;"",P81,""))</f>
        <v/>
      </c>
      <c r="AJ81" s="26" t="n"/>
      <c r="AK81" s="26" t="n"/>
      <c r="AL81" s="26" t="n"/>
      <c r="AM81" s="28" t="n"/>
      <c r="AN81" s="29" t="n"/>
    </row>
    <row r="82" ht="20" customHeight="1">
      <c r="A82" s="30">
        <f>IF(C82&lt;&gt;"",ROW()-3,"")</f>
        <v/>
      </c>
      <c r="B82" s="31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3" t="n"/>
      <c r="N82" s="34" t="n"/>
      <c r="O82" s="34" t="n"/>
      <c r="P82" s="34">
        <f>IF(AND(Q82="SÍ",N82&lt;&gt;"",O82&lt;&gt;""),N82-O82,"")</f>
        <v/>
      </c>
      <c r="Q82" s="32" t="n"/>
      <c r="R82" s="32" t="n"/>
      <c r="S82" s="32" t="n"/>
      <c r="T82" s="32">
        <f>IF(S82&lt;&gt;"",CHOOSE(WEEKDAY(S82,2),"Lunes","Martes","Miércoles","Jueves","Viernes","Sábado","Domingo"),"")</f>
        <v/>
      </c>
      <c r="U82" s="34">
        <f>IF(AND(P82&lt;&gt;"",R82&gt;0),ROUND(P82/R82,2),"")</f>
        <v/>
      </c>
      <c r="V82" s="31">
        <f>IF(AND(Q82="SÍ",S82&lt;&gt;""),S82,"")</f>
        <v/>
      </c>
      <c r="W82" s="32" t="n"/>
      <c r="X82" s="31">
        <f>IF(V82&lt;&gt;"",V82+7,"")</f>
        <v/>
      </c>
      <c r="Y82" s="32" t="n"/>
      <c r="Z82" s="31">
        <f>IF(X82&lt;&gt;"",X82+7,"")</f>
        <v/>
      </c>
      <c r="AA82" s="32" t="n"/>
      <c r="AB82" s="31">
        <f>IF(Z82&lt;&gt;"",Z82+7,"")</f>
        <v/>
      </c>
      <c r="AC82" s="32" t="n"/>
      <c r="AD82" s="31">
        <f>IF(AB82&lt;&gt;"",AB82+7,"")</f>
        <v/>
      </c>
      <c r="AE82" s="32" t="n"/>
      <c r="AF82" s="31">
        <f>IF(AD82&lt;&gt;"",AD82+7,"")</f>
        <v/>
      </c>
      <c r="AG82" s="32" t="n"/>
      <c r="AH82" s="34">
        <f>IF(U82&lt;&gt;"",(COUNTIF(W82,"PAGADO")+COUNTIF(Y82,"PAGADO")+COUNTIF(AA82,"PAGADO")+COUNTIF(AC82,"PAGADO")+COUNTIF(AE82,"PAGADO")+COUNTIF(AG82,"PAGADO"))*U82,"")</f>
        <v/>
      </c>
      <c r="AI82" s="34">
        <f>IF(AND(P82&lt;&gt;"",AH82&lt;&gt;""),P82-AH82,IF(P82&lt;&gt;"",P82,""))</f>
        <v/>
      </c>
      <c r="AJ82" s="32" t="n"/>
      <c r="AK82" s="32" t="n"/>
      <c r="AL82" s="32" t="n"/>
      <c r="AM82" s="34" t="n"/>
      <c r="AN82" s="35" t="n"/>
    </row>
    <row r="83" ht="20" customHeight="1">
      <c r="A83" s="24">
        <f>IF(C83&lt;&gt;"",ROW()-3,"")</f>
        <v/>
      </c>
      <c r="B83" s="25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7" t="n"/>
      <c r="N83" s="28" t="n"/>
      <c r="O83" s="28" t="n"/>
      <c r="P83" s="28">
        <f>IF(AND(Q83="SÍ",N83&lt;&gt;"",O83&lt;&gt;""),N83-O83,"")</f>
        <v/>
      </c>
      <c r="Q83" s="26" t="n"/>
      <c r="R83" s="26" t="n"/>
      <c r="S83" s="26" t="n"/>
      <c r="T83" s="26">
        <f>IF(S83&lt;&gt;"",CHOOSE(WEEKDAY(S83,2),"Lunes","Martes","Miércoles","Jueves","Viernes","Sábado","Domingo"),"")</f>
        <v/>
      </c>
      <c r="U83" s="28">
        <f>IF(AND(P83&lt;&gt;"",R83&gt;0),ROUND(P83/R83,2),"")</f>
        <v/>
      </c>
      <c r="V83" s="25">
        <f>IF(AND(Q83="SÍ",S83&lt;&gt;""),S83,"")</f>
        <v/>
      </c>
      <c r="W83" s="26" t="n"/>
      <c r="X83" s="25">
        <f>IF(V83&lt;&gt;"",V83+7,"")</f>
        <v/>
      </c>
      <c r="Y83" s="26" t="n"/>
      <c r="Z83" s="25">
        <f>IF(X83&lt;&gt;"",X83+7,"")</f>
        <v/>
      </c>
      <c r="AA83" s="26" t="n"/>
      <c r="AB83" s="25">
        <f>IF(Z83&lt;&gt;"",Z83+7,"")</f>
        <v/>
      </c>
      <c r="AC83" s="26" t="n"/>
      <c r="AD83" s="25">
        <f>IF(AB83&lt;&gt;"",AB83+7,"")</f>
        <v/>
      </c>
      <c r="AE83" s="26" t="n"/>
      <c r="AF83" s="25">
        <f>IF(AD83&lt;&gt;"",AD83+7,"")</f>
        <v/>
      </c>
      <c r="AG83" s="26" t="n"/>
      <c r="AH83" s="28">
        <f>IF(U83&lt;&gt;"",(COUNTIF(W83,"PAGADO")+COUNTIF(Y83,"PAGADO")+COUNTIF(AA83,"PAGADO")+COUNTIF(AC83,"PAGADO")+COUNTIF(AE83,"PAGADO")+COUNTIF(AG83,"PAGADO"))*U83,"")</f>
        <v/>
      </c>
      <c r="AI83" s="28">
        <f>IF(AND(P83&lt;&gt;"",AH83&lt;&gt;""),P83-AH83,IF(P83&lt;&gt;"",P83,""))</f>
        <v/>
      </c>
      <c r="AJ83" s="26" t="n"/>
      <c r="AK83" s="26" t="n"/>
      <c r="AL83" s="26" t="n"/>
      <c r="AM83" s="28" t="n"/>
      <c r="AN83" s="29" t="n"/>
    </row>
    <row r="84" ht="20" customHeight="1">
      <c r="A84" s="30">
        <f>IF(C84&lt;&gt;"",ROW()-3,"")</f>
        <v/>
      </c>
      <c r="B84" s="31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3" t="n"/>
      <c r="N84" s="34" t="n"/>
      <c r="O84" s="34" t="n"/>
      <c r="P84" s="34">
        <f>IF(AND(Q84="SÍ",N84&lt;&gt;"",O84&lt;&gt;""),N84-O84,"")</f>
        <v/>
      </c>
      <c r="Q84" s="32" t="n"/>
      <c r="R84" s="32" t="n"/>
      <c r="S84" s="32" t="n"/>
      <c r="T84" s="32">
        <f>IF(S84&lt;&gt;"",CHOOSE(WEEKDAY(S84,2),"Lunes","Martes","Miércoles","Jueves","Viernes","Sábado","Domingo"),"")</f>
        <v/>
      </c>
      <c r="U84" s="34">
        <f>IF(AND(P84&lt;&gt;"",R84&gt;0),ROUND(P84/R84,2),"")</f>
        <v/>
      </c>
      <c r="V84" s="31">
        <f>IF(AND(Q84="SÍ",S84&lt;&gt;""),S84,"")</f>
        <v/>
      </c>
      <c r="W84" s="32" t="n"/>
      <c r="X84" s="31">
        <f>IF(V84&lt;&gt;"",V84+7,"")</f>
        <v/>
      </c>
      <c r="Y84" s="32" t="n"/>
      <c r="Z84" s="31">
        <f>IF(X84&lt;&gt;"",X84+7,"")</f>
        <v/>
      </c>
      <c r="AA84" s="32" t="n"/>
      <c r="AB84" s="31">
        <f>IF(Z84&lt;&gt;"",Z84+7,"")</f>
        <v/>
      </c>
      <c r="AC84" s="32" t="n"/>
      <c r="AD84" s="31">
        <f>IF(AB84&lt;&gt;"",AB84+7,"")</f>
        <v/>
      </c>
      <c r="AE84" s="32" t="n"/>
      <c r="AF84" s="31">
        <f>IF(AD84&lt;&gt;"",AD84+7,"")</f>
        <v/>
      </c>
      <c r="AG84" s="32" t="n"/>
      <c r="AH84" s="34">
        <f>IF(U84&lt;&gt;"",(COUNTIF(W84,"PAGADO")+COUNTIF(Y84,"PAGADO")+COUNTIF(AA84,"PAGADO")+COUNTIF(AC84,"PAGADO")+COUNTIF(AE84,"PAGADO")+COUNTIF(AG84,"PAGADO"))*U84,"")</f>
        <v/>
      </c>
      <c r="AI84" s="34">
        <f>IF(AND(P84&lt;&gt;"",AH84&lt;&gt;""),P84-AH84,IF(P84&lt;&gt;"",P84,""))</f>
        <v/>
      </c>
      <c r="AJ84" s="32" t="n"/>
      <c r="AK84" s="32" t="n"/>
      <c r="AL84" s="32" t="n"/>
      <c r="AM84" s="34" t="n"/>
      <c r="AN84" s="35" t="n"/>
    </row>
    <row r="85" ht="20" customHeight="1">
      <c r="A85" s="24">
        <f>IF(C85&lt;&gt;"",ROW()-3,"")</f>
        <v/>
      </c>
      <c r="B85" s="25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7" t="n"/>
      <c r="N85" s="28" t="n"/>
      <c r="O85" s="28" t="n"/>
      <c r="P85" s="28">
        <f>IF(AND(Q85="SÍ",N85&lt;&gt;"",O85&lt;&gt;""),N85-O85,"")</f>
        <v/>
      </c>
      <c r="Q85" s="26" t="n"/>
      <c r="R85" s="26" t="n"/>
      <c r="S85" s="26" t="n"/>
      <c r="T85" s="26">
        <f>IF(S85&lt;&gt;"",CHOOSE(WEEKDAY(S85,2),"Lunes","Martes","Miércoles","Jueves","Viernes","Sábado","Domingo"),"")</f>
        <v/>
      </c>
      <c r="U85" s="28">
        <f>IF(AND(P85&lt;&gt;"",R85&gt;0),ROUND(P85/R85,2),"")</f>
        <v/>
      </c>
      <c r="V85" s="25">
        <f>IF(AND(Q85="SÍ",S85&lt;&gt;""),S85,"")</f>
        <v/>
      </c>
      <c r="W85" s="26" t="n"/>
      <c r="X85" s="25">
        <f>IF(V85&lt;&gt;"",V85+7,"")</f>
        <v/>
      </c>
      <c r="Y85" s="26" t="n"/>
      <c r="Z85" s="25">
        <f>IF(X85&lt;&gt;"",X85+7,"")</f>
        <v/>
      </c>
      <c r="AA85" s="26" t="n"/>
      <c r="AB85" s="25">
        <f>IF(Z85&lt;&gt;"",Z85+7,"")</f>
        <v/>
      </c>
      <c r="AC85" s="26" t="n"/>
      <c r="AD85" s="25">
        <f>IF(AB85&lt;&gt;"",AB85+7,"")</f>
        <v/>
      </c>
      <c r="AE85" s="26" t="n"/>
      <c r="AF85" s="25">
        <f>IF(AD85&lt;&gt;"",AD85+7,"")</f>
        <v/>
      </c>
      <c r="AG85" s="26" t="n"/>
      <c r="AH85" s="28">
        <f>IF(U85&lt;&gt;"",(COUNTIF(W85,"PAGADO")+COUNTIF(Y85,"PAGADO")+COUNTIF(AA85,"PAGADO")+COUNTIF(AC85,"PAGADO")+COUNTIF(AE85,"PAGADO")+COUNTIF(AG85,"PAGADO"))*U85,"")</f>
        <v/>
      </c>
      <c r="AI85" s="28">
        <f>IF(AND(P85&lt;&gt;"",AH85&lt;&gt;""),P85-AH85,IF(P85&lt;&gt;"",P85,""))</f>
        <v/>
      </c>
      <c r="AJ85" s="26" t="n"/>
      <c r="AK85" s="26" t="n"/>
      <c r="AL85" s="26" t="n"/>
      <c r="AM85" s="28" t="n"/>
      <c r="AN85" s="29" t="n"/>
    </row>
    <row r="86" ht="20" customHeight="1">
      <c r="A86" s="30">
        <f>IF(C86&lt;&gt;"",ROW()-3,"")</f>
        <v/>
      </c>
      <c r="B86" s="31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3" t="n"/>
      <c r="N86" s="34" t="n"/>
      <c r="O86" s="34" t="n"/>
      <c r="P86" s="34">
        <f>IF(AND(Q86="SÍ",N86&lt;&gt;"",O86&lt;&gt;""),N86-O86,"")</f>
        <v/>
      </c>
      <c r="Q86" s="32" t="n"/>
      <c r="R86" s="32" t="n"/>
      <c r="S86" s="32" t="n"/>
      <c r="T86" s="32">
        <f>IF(S86&lt;&gt;"",CHOOSE(WEEKDAY(S86,2),"Lunes","Martes","Miércoles","Jueves","Viernes","Sábado","Domingo"),"")</f>
        <v/>
      </c>
      <c r="U86" s="34">
        <f>IF(AND(P86&lt;&gt;"",R86&gt;0),ROUND(P86/R86,2),"")</f>
        <v/>
      </c>
      <c r="V86" s="31">
        <f>IF(AND(Q86="SÍ",S86&lt;&gt;""),S86,"")</f>
        <v/>
      </c>
      <c r="W86" s="32" t="n"/>
      <c r="X86" s="31">
        <f>IF(V86&lt;&gt;"",V86+7,"")</f>
        <v/>
      </c>
      <c r="Y86" s="32" t="n"/>
      <c r="Z86" s="31">
        <f>IF(X86&lt;&gt;"",X86+7,"")</f>
        <v/>
      </c>
      <c r="AA86" s="32" t="n"/>
      <c r="AB86" s="31">
        <f>IF(Z86&lt;&gt;"",Z86+7,"")</f>
        <v/>
      </c>
      <c r="AC86" s="32" t="n"/>
      <c r="AD86" s="31">
        <f>IF(AB86&lt;&gt;"",AB86+7,"")</f>
        <v/>
      </c>
      <c r="AE86" s="32" t="n"/>
      <c r="AF86" s="31">
        <f>IF(AD86&lt;&gt;"",AD86+7,"")</f>
        <v/>
      </c>
      <c r="AG86" s="32" t="n"/>
      <c r="AH86" s="34">
        <f>IF(U86&lt;&gt;"",(COUNTIF(W86,"PAGADO")+COUNTIF(Y86,"PAGADO")+COUNTIF(AA86,"PAGADO")+COUNTIF(AC86,"PAGADO")+COUNTIF(AE86,"PAGADO")+COUNTIF(AG86,"PAGADO"))*U86,"")</f>
        <v/>
      </c>
      <c r="AI86" s="34">
        <f>IF(AND(P86&lt;&gt;"",AH86&lt;&gt;""),P86-AH86,IF(P86&lt;&gt;"",P86,""))</f>
        <v/>
      </c>
      <c r="AJ86" s="32" t="n"/>
      <c r="AK86" s="32" t="n"/>
      <c r="AL86" s="32" t="n"/>
      <c r="AM86" s="34" t="n"/>
      <c r="AN86" s="35" t="n"/>
    </row>
    <row r="87" ht="20" customHeight="1">
      <c r="A87" s="24">
        <f>IF(C87&lt;&gt;"",ROW()-3,"")</f>
        <v/>
      </c>
      <c r="B87" s="25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7" t="n"/>
      <c r="N87" s="28" t="n"/>
      <c r="O87" s="28" t="n"/>
      <c r="P87" s="28">
        <f>IF(AND(Q87="SÍ",N87&lt;&gt;"",O87&lt;&gt;""),N87-O87,"")</f>
        <v/>
      </c>
      <c r="Q87" s="26" t="n"/>
      <c r="R87" s="26" t="n"/>
      <c r="S87" s="26" t="n"/>
      <c r="T87" s="26">
        <f>IF(S87&lt;&gt;"",CHOOSE(WEEKDAY(S87,2),"Lunes","Martes","Miércoles","Jueves","Viernes","Sábado","Domingo"),"")</f>
        <v/>
      </c>
      <c r="U87" s="28">
        <f>IF(AND(P87&lt;&gt;"",R87&gt;0),ROUND(P87/R87,2),"")</f>
        <v/>
      </c>
      <c r="V87" s="25">
        <f>IF(AND(Q87="SÍ",S87&lt;&gt;""),S87,"")</f>
        <v/>
      </c>
      <c r="W87" s="26" t="n"/>
      <c r="X87" s="25">
        <f>IF(V87&lt;&gt;"",V87+7,"")</f>
        <v/>
      </c>
      <c r="Y87" s="26" t="n"/>
      <c r="Z87" s="25">
        <f>IF(X87&lt;&gt;"",X87+7,"")</f>
        <v/>
      </c>
      <c r="AA87" s="26" t="n"/>
      <c r="AB87" s="25">
        <f>IF(Z87&lt;&gt;"",Z87+7,"")</f>
        <v/>
      </c>
      <c r="AC87" s="26" t="n"/>
      <c r="AD87" s="25">
        <f>IF(AB87&lt;&gt;"",AB87+7,"")</f>
        <v/>
      </c>
      <c r="AE87" s="26" t="n"/>
      <c r="AF87" s="25">
        <f>IF(AD87&lt;&gt;"",AD87+7,"")</f>
        <v/>
      </c>
      <c r="AG87" s="26" t="n"/>
      <c r="AH87" s="28">
        <f>IF(U87&lt;&gt;"",(COUNTIF(W87,"PAGADO")+COUNTIF(Y87,"PAGADO")+COUNTIF(AA87,"PAGADO")+COUNTIF(AC87,"PAGADO")+COUNTIF(AE87,"PAGADO")+COUNTIF(AG87,"PAGADO"))*U87,"")</f>
        <v/>
      </c>
      <c r="AI87" s="28">
        <f>IF(AND(P87&lt;&gt;"",AH87&lt;&gt;""),P87-AH87,IF(P87&lt;&gt;"",P87,""))</f>
        <v/>
      </c>
      <c r="AJ87" s="26" t="n"/>
      <c r="AK87" s="26" t="n"/>
      <c r="AL87" s="26" t="n"/>
      <c r="AM87" s="28" t="n"/>
      <c r="AN87" s="29" t="n"/>
    </row>
    <row r="88" ht="20" customHeight="1">
      <c r="A88" s="30">
        <f>IF(C88&lt;&gt;"",ROW()-3,"")</f>
        <v/>
      </c>
      <c r="B88" s="31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3" t="n"/>
      <c r="N88" s="34" t="n"/>
      <c r="O88" s="34" t="n"/>
      <c r="P88" s="34">
        <f>IF(AND(Q88="SÍ",N88&lt;&gt;"",O88&lt;&gt;""),N88-O88,"")</f>
        <v/>
      </c>
      <c r="Q88" s="32" t="n"/>
      <c r="R88" s="32" t="n"/>
      <c r="S88" s="32" t="n"/>
      <c r="T88" s="32">
        <f>IF(S88&lt;&gt;"",CHOOSE(WEEKDAY(S88,2),"Lunes","Martes","Miércoles","Jueves","Viernes","Sábado","Domingo"),"")</f>
        <v/>
      </c>
      <c r="U88" s="34">
        <f>IF(AND(P88&lt;&gt;"",R88&gt;0),ROUND(P88/R88,2),"")</f>
        <v/>
      </c>
      <c r="V88" s="31">
        <f>IF(AND(Q88="SÍ",S88&lt;&gt;""),S88,"")</f>
        <v/>
      </c>
      <c r="W88" s="32" t="n"/>
      <c r="X88" s="31">
        <f>IF(V88&lt;&gt;"",V88+7,"")</f>
        <v/>
      </c>
      <c r="Y88" s="32" t="n"/>
      <c r="Z88" s="31">
        <f>IF(X88&lt;&gt;"",X88+7,"")</f>
        <v/>
      </c>
      <c r="AA88" s="32" t="n"/>
      <c r="AB88" s="31">
        <f>IF(Z88&lt;&gt;"",Z88+7,"")</f>
        <v/>
      </c>
      <c r="AC88" s="32" t="n"/>
      <c r="AD88" s="31">
        <f>IF(AB88&lt;&gt;"",AB88+7,"")</f>
        <v/>
      </c>
      <c r="AE88" s="32" t="n"/>
      <c r="AF88" s="31">
        <f>IF(AD88&lt;&gt;"",AD88+7,"")</f>
        <v/>
      </c>
      <c r="AG88" s="32" t="n"/>
      <c r="AH88" s="34">
        <f>IF(U88&lt;&gt;"",(COUNTIF(W88,"PAGADO")+COUNTIF(Y88,"PAGADO")+COUNTIF(AA88,"PAGADO")+COUNTIF(AC88,"PAGADO")+COUNTIF(AE88,"PAGADO")+COUNTIF(AG88,"PAGADO"))*U88,"")</f>
        <v/>
      </c>
      <c r="AI88" s="34">
        <f>IF(AND(P88&lt;&gt;"",AH88&lt;&gt;""),P88-AH88,IF(P88&lt;&gt;"",P88,""))</f>
        <v/>
      </c>
      <c r="AJ88" s="32" t="n"/>
      <c r="AK88" s="32" t="n"/>
      <c r="AL88" s="32" t="n"/>
      <c r="AM88" s="34" t="n"/>
      <c r="AN88" s="35" t="n"/>
    </row>
    <row r="89" ht="20" customHeight="1">
      <c r="A89" s="24">
        <f>IF(C89&lt;&gt;"",ROW()-3,"")</f>
        <v/>
      </c>
      <c r="B89" s="25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7" t="n"/>
      <c r="N89" s="28" t="n"/>
      <c r="O89" s="28" t="n"/>
      <c r="P89" s="28">
        <f>IF(AND(Q89="SÍ",N89&lt;&gt;"",O89&lt;&gt;""),N89-O89,"")</f>
        <v/>
      </c>
      <c r="Q89" s="26" t="n"/>
      <c r="R89" s="26" t="n"/>
      <c r="S89" s="26" t="n"/>
      <c r="T89" s="26">
        <f>IF(S89&lt;&gt;"",CHOOSE(WEEKDAY(S89,2),"Lunes","Martes","Miércoles","Jueves","Viernes","Sábado","Domingo"),"")</f>
        <v/>
      </c>
      <c r="U89" s="28">
        <f>IF(AND(P89&lt;&gt;"",R89&gt;0),ROUND(P89/R89,2),"")</f>
        <v/>
      </c>
      <c r="V89" s="25">
        <f>IF(AND(Q89="SÍ",S89&lt;&gt;""),S89,"")</f>
        <v/>
      </c>
      <c r="W89" s="26" t="n"/>
      <c r="X89" s="25">
        <f>IF(V89&lt;&gt;"",V89+7,"")</f>
        <v/>
      </c>
      <c r="Y89" s="26" t="n"/>
      <c r="Z89" s="25">
        <f>IF(X89&lt;&gt;"",X89+7,"")</f>
        <v/>
      </c>
      <c r="AA89" s="26" t="n"/>
      <c r="AB89" s="25">
        <f>IF(Z89&lt;&gt;"",Z89+7,"")</f>
        <v/>
      </c>
      <c r="AC89" s="26" t="n"/>
      <c r="AD89" s="25">
        <f>IF(AB89&lt;&gt;"",AB89+7,"")</f>
        <v/>
      </c>
      <c r="AE89" s="26" t="n"/>
      <c r="AF89" s="25">
        <f>IF(AD89&lt;&gt;"",AD89+7,"")</f>
        <v/>
      </c>
      <c r="AG89" s="26" t="n"/>
      <c r="AH89" s="28">
        <f>IF(U89&lt;&gt;"",(COUNTIF(W89,"PAGADO")+COUNTIF(Y89,"PAGADO")+COUNTIF(AA89,"PAGADO")+COUNTIF(AC89,"PAGADO")+COUNTIF(AE89,"PAGADO")+COUNTIF(AG89,"PAGADO"))*U89,"")</f>
        <v/>
      </c>
      <c r="AI89" s="28">
        <f>IF(AND(P89&lt;&gt;"",AH89&lt;&gt;""),P89-AH89,IF(P89&lt;&gt;"",P89,""))</f>
        <v/>
      </c>
      <c r="AJ89" s="26" t="n"/>
      <c r="AK89" s="26" t="n"/>
      <c r="AL89" s="26" t="n"/>
      <c r="AM89" s="28" t="n"/>
      <c r="AN89" s="29" t="n"/>
    </row>
    <row r="90" ht="20" customHeight="1">
      <c r="A90" s="30">
        <f>IF(C90&lt;&gt;"",ROW()-3,"")</f>
        <v/>
      </c>
      <c r="B90" s="31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3" t="n"/>
      <c r="N90" s="34" t="n"/>
      <c r="O90" s="34" t="n"/>
      <c r="P90" s="34">
        <f>IF(AND(Q90="SÍ",N90&lt;&gt;"",O90&lt;&gt;""),N90-O90,"")</f>
        <v/>
      </c>
      <c r="Q90" s="32" t="n"/>
      <c r="R90" s="32" t="n"/>
      <c r="S90" s="32" t="n"/>
      <c r="T90" s="32">
        <f>IF(S90&lt;&gt;"",CHOOSE(WEEKDAY(S90,2),"Lunes","Martes","Miércoles","Jueves","Viernes","Sábado","Domingo"),"")</f>
        <v/>
      </c>
      <c r="U90" s="34">
        <f>IF(AND(P90&lt;&gt;"",R90&gt;0),ROUND(P90/R90,2),"")</f>
        <v/>
      </c>
      <c r="V90" s="31">
        <f>IF(AND(Q90="SÍ",S90&lt;&gt;""),S90,"")</f>
        <v/>
      </c>
      <c r="W90" s="32" t="n"/>
      <c r="X90" s="31">
        <f>IF(V90&lt;&gt;"",V90+7,"")</f>
        <v/>
      </c>
      <c r="Y90" s="32" t="n"/>
      <c r="Z90" s="31">
        <f>IF(X90&lt;&gt;"",X90+7,"")</f>
        <v/>
      </c>
      <c r="AA90" s="32" t="n"/>
      <c r="AB90" s="31">
        <f>IF(Z90&lt;&gt;"",Z90+7,"")</f>
        <v/>
      </c>
      <c r="AC90" s="32" t="n"/>
      <c r="AD90" s="31">
        <f>IF(AB90&lt;&gt;"",AB90+7,"")</f>
        <v/>
      </c>
      <c r="AE90" s="32" t="n"/>
      <c r="AF90" s="31">
        <f>IF(AD90&lt;&gt;"",AD90+7,"")</f>
        <v/>
      </c>
      <c r="AG90" s="32" t="n"/>
      <c r="AH90" s="34">
        <f>IF(U90&lt;&gt;"",(COUNTIF(W90,"PAGADO")+COUNTIF(Y90,"PAGADO")+COUNTIF(AA90,"PAGADO")+COUNTIF(AC90,"PAGADO")+COUNTIF(AE90,"PAGADO")+COUNTIF(AG90,"PAGADO"))*U90,"")</f>
        <v/>
      </c>
      <c r="AI90" s="34">
        <f>IF(AND(P90&lt;&gt;"",AH90&lt;&gt;""),P90-AH90,IF(P90&lt;&gt;"",P90,""))</f>
        <v/>
      </c>
      <c r="AJ90" s="32" t="n"/>
      <c r="AK90" s="32" t="n"/>
      <c r="AL90" s="32" t="n"/>
      <c r="AM90" s="34" t="n"/>
      <c r="AN90" s="35" t="n"/>
    </row>
    <row r="91" ht="20" customHeight="1">
      <c r="A91" s="24">
        <f>IF(C91&lt;&gt;"",ROW()-3,"")</f>
        <v/>
      </c>
      <c r="B91" s="25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7" t="n"/>
      <c r="N91" s="28" t="n"/>
      <c r="O91" s="28" t="n"/>
      <c r="P91" s="28">
        <f>IF(AND(Q91="SÍ",N91&lt;&gt;"",O91&lt;&gt;""),N91-O91,"")</f>
        <v/>
      </c>
      <c r="Q91" s="26" t="n"/>
      <c r="R91" s="26" t="n"/>
      <c r="S91" s="26" t="n"/>
      <c r="T91" s="26">
        <f>IF(S91&lt;&gt;"",CHOOSE(WEEKDAY(S91,2),"Lunes","Martes","Miércoles","Jueves","Viernes","Sábado","Domingo"),"")</f>
        <v/>
      </c>
      <c r="U91" s="28">
        <f>IF(AND(P91&lt;&gt;"",R91&gt;0),ROUND(P91/R91,2),"")</f>
        <v/>
      </c>
      <c r="V91" s="25">
        <f>IF(AND(Q91="SÍ",S91&lt;&gt;""),S91,"")</f>
        <v/>
      </c>
      <c r="W91" s="26" t="n"/>
      <c r="X91" s="25">
        <f>IF(V91&lt;&gt;"",V91+7,"")</f>
        <v/>
      </c>
      <c r="Y91" s="26" t="n"/>
      <c r="Z91" s="25">
        <f>IF(X91&lt;&gt;"",X91+7,"")</f>
        <v/>
      </c>
      <c r="AA91" s="26" t="n"/>
      <c r="AB91" s="25">
        <f>IF(Z91&lt;&gt;"",Z91+7,"")</f>
        <v/>
      </c>
      <c r="AC91" s="26" t="n"/>
      <c r="AD91" s="25">
        <f>IF(AB91&lt;&gt;"",AB91+7,"")</f>
        <v/>
      </c>
      <c r="AE91" s="26" t="n"/>
      <c r="AF91" s="25">
        <f>IF(AD91&lt;&gt;"",AD91+7,"")</f>
        <v/>
      </c>
      <c r="AG91" s="26" t="n"/>
      <c r="AH91" s="28">
        <f>IF(U91&lt;&gt;"",(COUNTIF(W91,"PAGADO")+COUNTIF(Y91,"PAGADO")+COUNTIF(AA91,"PAGADO")+COUNTIF(AC91,"PAGADO")+COUNTIF(AE91,"PAGADO")+COUNTIF(AG91,"PAGADO"))*U91,"")</f>
        <v/>
      </c>
      <c r="AI91" s="28">
        <f>IF(AND(P91&lt;&gt;"",AH91&lt;&gt;""),P91-AH91,IF(P91&lt;&gt;"",P91,""))</f>
        <v/>
      </c>
      <c r="AJ91" s="26" t="n"/>
      <c r="AK91" s="26" t="n"/>
      <c r="AL91" s="26" t="n"/>
      <c r="AM91" s="28" t="n"/>
      <c r="AN91" s="29" t="n"/>
    </row>
    <row r="92" ht="20" customHeight="1">
      <c r="A92" s="30">
        <f>IF(C92&lt;&gt;"",ROW()-3,"")</f>
        <v/>
      </c>
      <c r="B92" s="31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3" t="n"/>
      <c r="N92" s="34" t="n"/>
      <c r="O92" s="34" t="n"/>
      <c r="P92" s="34">
        <f>IF(AND(Q92="SÍ",N92&lt;&gt;"",O92&lt;&gt;""),N92-O92,"")</f>
        <v/>
      </c>
      <c r="Q92" s="32" t="n"/>
      <c r="R92" s="32" t="n"/>
      <c r="S92" s="32" t="n"/>
      <c r="T92" s="32">
        <f>IF(S92&lt;&gt;"",CHOOSE(WEEKDAY(S92,2),"Lunes","Martes","Miércoles","Jueves","Viernes","Sábado","Domingo"),"")</f>
        <v/>
      </c>
      <c r="U92" s="34">
        <f>IF(AND(P92&lt;&gt;"",R92&gt;0),ROUND(P92/R92,2),"")</f>
        <v/>
      </c>
      <c r="V92" s="31">
        <f>IF(AND(Q92="SÍ",S92&lt;&gt;""),S92,"")</f>
        <v/>
      </c>
      <c r="W92" s="32" t="n"/>
      <c r="X92" s="31">
        <f>IF(V92&lt;&gt;"",V92+7,"")</f>
        <v/>
      </c>
      <c r="Y92" s="32" t="n"/>
      <c r="Z92" s="31">
        <f>IF(X92&lt;&gt;"",X92+7,"")</f>
        <v/>
      </c>
      <c r="AA92" s="32" t="n"/>
      <c r="AB92" s="31">
        <f>IF(Z92&lt;&gt;"",Z92+7,"")</f>
        <v/>
      </c>
      <c r="AC92" s="32" t="n"/>
      <c r="AD92" s="31">
        <f>IF(AB92&lt;&gt;"",AB92+7,"")</f>
        <v/>
      </c>
      <c r="AE92" s="32" t="n"/>
      <c r="AF92" s="31">
        <f>IF(AD92&lt;&gt;"",AD92+7,"")</f>
        <v/>
      </c>
      <c r="AG92" s="32" t="n"/>
      <c r="AH92" s="34">
        <f>IF(U92&lt;&gt;"",(COUNTIF(W92,"PAGADO")+COUNTIF(Y92,"PAGADO")+COUNTIF(AA92,"PAGADO")+COUNTIF(AC92,"PAGADO")+COUNTIF(AE92,"PAGADO")+COUNTIF(AG92,"PAGADO"))*U92,"")</f>
        <v/>
      </c>
      <c r="AI92" s="34">
        <f>IF(AND(P92&lt;&gt;"",AH92&lt;&gt;""),P92-AH92,IF(P92&lt;&gt;"",P92,""))</f>
        <v/>
      </c>
      <c r="AJ92" s="32" t="n"/>
      <c r="AK92" s="32" t="n"/>
      <c r="AL92" s="32" t="n"/>
      <c r="AM92" s="34" t="n"/>
      <c r="AN92" s="35" t="n"/>
    </row>
    <row r="93" ht="20" customHeight="1">
      <c r="A93" s="24">
        <f>IF(C93&lt;&gt;"",ROW()-3,"")</f>
        <v/>
      </c>
      <c r="B93" s="25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7" t="n"/>
      <c r="N93" s="28" t="n"/>
      <c r="O93" s="28" t="n"/>
      <c r="P93" s="28">
        <f>IF(AND(Q93="SÍ",N93&lt;&gt;"",O93&lt;&gt;""),N93-O93,"")</f>
        <v/>
      </c>
      <c r="Q93" s="26" t="n"/>
      <c r="R93" s="26" t="n"/>
      <c r="S93" s="26" t="n"/>
      <c r="T93" s="26">
        <f>IF(S93&lt;&gt;"",CHOOSE(WEEKDAY(S93,2),"Lunes","Martes","Miércoles","Jueves","Viernes","Sábado","Domingo"),"")</f>
        <v/>
      </c>
      <c r="U93" s="28">
        <f>IF(AND(P93&lt;&gt;"",R93&gt;0),ROUND(P93/R93,2),"")</f>
        <v/>
      </c>
      <c r="V93" s="25">
        <f>IF(AND(Q93="SÍ",S93&lt;&gt;""),S93,"")</f>
        <v/>
      </c>
      <c r="W93" s="26" t="n"/>
      <c r="X93" s="25">
        <f>IF(V93&lt;&gt;"",V93+7,"")</f>
        <v/>
      </c>
      <c r="Y93" s="26" t="n"/>
      <c r="Z93" s="25">
        <f>IF(X93&lt;&gt;"",X93+7,"")</f>
        <v/>
      </c>
      <c r="AA93" s="26" t="n"/>
      <c r="AB93" s="25">
        <f>IF(Z93&lt;&gt;"",Z93+7,"")</f>
        <v/>
      </c>
      <c r="AC93" s="26" t="n"/>
      <c r="AD93" s="25">
        <f>IF(AB93&lt;&gt;"",AB93+7,"")</f>
        <v/>
      </c>
      <c r="AE93" s="26" t="n"/>
      <c r="AF93" s="25">
        <f>IF(AD93&lt;&gt;"",AD93+7,"")</f>
        <v/>
      </c>
      <c r="AG93" s="26" t="n"/>
      <c r="AH93" s="28">
        <f>IF(U93&lt;&gt;"",(COUNTIF(W93,"PAGADO")+COUNTIF(Y93,"PAGADO")+COUNTIF(AA93,"PAGADO")+COUNTIF(AC93,"PAGADO")+COUNTIF(AE93,"PAGADO")+COUNTIF(AG93,"PAGADO"))*U93,"")</f>
        <v/>
      </c>
      <c r="AI93" s="28">
        <f>IF(AND(P93&lt;&gt;"",AH93&lt;&gt;""),P93-AH93,IF(P93&lt;&gt;"",P93,""))</f>
        <v/>
      </c>
      <c r="AJ93" s="26" t="n"/>
      <c r="AK93" s="26" t="n"/>
      <c r="AL93" s="26" t="n"/>
      <c r="AM93" s="28" t="n"/>
      <c r="AN93" s="29" t="n"/>
    </row>
    <row r="94" ht="20" customHeight="1">
      <c r="A94" s="30">
        <f>IF(C94&lt;&gt;"",ROW()-3,"")</f>
        <v/>
      </c>
      <c r="B94" s="31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3" t="n"/>
      <c r="N94" s="34" t="n"/>
      <c r="O94" s="34" t="n"/>
      <c r="P94" s="34">
        <f>IF(AND(Q94="SÍ",N94&lt;&gt;"",O94&lt;&gt;""),N94-O94,"")</f>
        <v/>
      </c>
      <c r="Q94" s="32" t="n"/>
      <c r="R94" s="32" t="n"/>
      <c r="S94" s="32" t="n"/>
      <c r="T94" s="32">
        <f>IF(S94&lt;&gt;"",CHOOSE(WEEKDAY(S94,2),"Lunes","Martes","Miércoles","Jueves","Viernes","Sábado","Domingo"),"")</f>
        <v/>
      </c>
      <c r="U94" s="34">
        <f>IF(AND(P94&lt;&gt;"",R94&gt;0),ROUND(P94/R94,2),"")</f>
        <v/>
      </c>
      <c r="V94" s="31">
        <f>IF(AND(Q94="SÍ",S94&lt;&gt;""),S94,"")</f>
        <v/>
      </c>
      <c r="W94" s="32" t="n"/>
      <c r="X94" s="31">
        <f>IF(V94&lt;&gt;"",V94+7,"")</f>
        <v/>
      </c>
      <c r="Y94" s="32" t="n"/>
      <c r="Z94" s="31">
        <f>IF(X94&lt;&gt;"",X94+7,"")</f>
        <v/>
      </c>
      <c r="AA94" s="32" t="n"/>
      <c r="AB94" s="31">
        <f>IF(Z94&lt;&gt;"",Z94+7,"")</f>
        <v/>
      </c>
      <c r="AC94" s="32" t="n"/>
      <c r="AD94" s="31">
        <f>IF(AB94&lt;&gt;"",AB94+7,"")</f>
        <v/>
      </c>
      <c r="AE94" s="32" t="n"/>
      <c r="AF94" s="31">
        <f>IF(AD94&lt;&gt;"",AD94+7,"")</f>
        <v/>
      </c>
      <c r="AG94" s="32" t="n"/>
      <c r="AH94" s="34">
        <f>IF(U94&lt;&gt;"",(COUNTIF(W94,"PAGADO")+COUNTIF(Y94,"PAGADO")+COUNTIF(AA94,"PAGADO")+COUNTIF(AC94,"PAGADO")+COUNTIF(AE94,"PAGADO")+COUNTIF(AG94,"PAGADO"))*U94,"")</f>
        <v/>
      </c>
      <c r="AI94" s="34">
        <f>IF(AND(P94&lt;&gt;"",AH94&lt;&gt;""),P94-AH94,IF(P94&lt;&gt;"",P94,""))</f>
        <v/>
      </c>
      <c r="AJ94" s="32" t="n"/>
      <c r="AK94" s="32" t="n"/>
      <c r="AL94" s="32" t="n"/>
      <c r="AM94" s="34" t="n"/>
      <c r="AN94" s="35" t="n"/>
    </row>
    <row r="95" ht="20" customHeight="1">
      <c r="A95" s="24">
        <f>IF(C95&lt;&gt;"",ROW()-3,"")</f>
        <v/>
      </c>
      <c r="B95" s="25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7" t="n"/>
      <c r="N95" s="28" t="n"/>
      <c r="O95" s="28" t="n"/>
      <c r="P95" s="28">
        <f>IF(AND(Q95="SÍ",N95&lt;&gt;"",O95&lt;&gt;""),N95-O95,"")</f>
        <v/>
      </c>
      <c r="Q95" s="26" t="n"/>
      <c r="R95" s="26" t="n"/>
      <c r="S95" s="26" t="n"/>
      <c r="T95" s="26">
        <f>IF(S95&lt;&gt;"",CHOOSE(WEEKDAY(S95,2),"Lunes","Martes","Miércoles","Jueves","Viernes","Sábado","Domingo"),"")</f>
        <v/>
      </c>
      <c r="U95" s="28">
        <f>IF(AND(P95&lt;&gt;"",R95&gt;0),ROUND(P95/R95,2),"")</f>
        <v/>
      </c>
      <c r="V95" s="25">
        <f>IF(AND(Q95="SÍ",S95&lt;&gt;""),S95,"")</f>
        <v/>
      </c>
      <c r="W95" s="26" t="n"/>
      <c r="X95" s="25">
        <f>IF(V95&lt;&gt;"",V95+7,"")</f>
        <v/>
      </c>
      <c r="Y95" s="26" t="n"/>
      <c r="Z95" s="25">
        <f>IF(X95&lt;&gt;"",X95+7,"")</f>
        <v/>
      </c>
      <c r="AA95" s="26" t="n"/>
      <c r="AB95" s="25">
        <f>IF(Z95&lt;&gt;"",Z95+7,"")</f>
        <v/>
      </c>
      <c r="AC95" s="26" t="n"/>
      <c r="AD95" s="25">
        <f>IF(AB95&lt;&gt;"",AB95+7,"")</f>
        <v/>
      </c>
      <c r="AE95" s="26" t="n"/>
      <c r="AF95" s="25">
        <f>IF(AD95&lt;&gt;"",AD95+7,"")</f>
        <v/>
      </c>
      <c r="AG95" s="26" t="n"/>
      <c r="AH95" s="28">
        <f>IF(U95&lt;&gt;"",(COUNTIF(W95,"PAGADO")+COUNTIF(Y95,"PAGADO")+COUNTIF(AA95,"PAGADO")+COUNTIF(AC95,"PAGADO")+COUNTIF(AE95,"PAGADO")+COUNTIF(AG95,"PAGADO"))*U95,"")</f>
        <v/>
      </c>
      <c r="AI95" s="28">
        <f>IF(AND(P95&lt;&gt;"",AH95&lt;&gt;""),P95-AH95,IF(P95&lt;&gt;"",P95,""))</f>
        <v/>
      </c>
      <c r="AJ95" s="26" t="n"/>
      <c r="AK95" s="26" t="n"/>
      <c r="AL95" s="26" t="n"/>
      <c r="AM95" s="28" t="n"/>
      <c r="AN95" s="29" t="n"/>
    </row>
    <row r="96" ht="20" customHeight="1">
      <c r="A96" s="30">
        <f>IF(C96&lt;&gt;"",ROW()-3,"")</f>
        <v/>
      </c>
      <c r="B96" s="31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3" t="n"/>
      <c r="N96" s="34" t="n"/>
      <c r="O96" s="34" t="n"/>
      <c r="P96" s="34">
        <f>IF(AND(Q96="SÍ",N96&lt;&gt;"",O96&lt;&gt;""),N96-O96,"")</f>
        <v/>
      </c>
      <c r="Q96" s="32" t="n"/>
      <c r="R96" s="32" t="n"/>
      <c r="S96" s="32" t="n"/>
      <c r="T96" s="32">
        <f>IF(S96&lt;&gt;"",CHOOSE(WEEKDAY(S96,2),"Lunes","Martes","Miércoles","Jueves","Viernes","Sábado","Domingo"),"")</f>
        <v/>
      </c>
      <c r="U96" s="34">
        <f>IF(AND(P96&lt;&gt;"",R96&gt;0),ROUND(P96/R96,2),"")</f>
        <v/>
      </c>
      <c r="V96" s="31">
        <f>IF(AND(Q96="SÍ",S96&lt;&gt;""),S96,"")</f>
        <v/>
      </c>
      <c r="W96" s="32" t="n"/>
      <c r="X96" s="31">
        <f>IF(V96&lt;&gt;"",V96+7,"")</f>
        <v/>
      </c>
      <c r="Y96" s="32" t="n"/>
      <c r="Z96" s="31">
        <f>IF(X96&lt;&gt;"",X96+7,"")</f>
        <v/>
      </c>
      <c r="AA96" s="32" t="n"/>
      <c r="AB96" s="31">
        <f>IF(Z96&lt;&gt;"",Z96+7,"")</f>
        <v/>
      </c>
      <c r="AC96" s="32" t="n"/>
      <c r="AD96" s="31">
        <f>IF(AB96&lt;&gt;"",AB96+7,"")</f>
        <v/>
      </c>
      <c r="AE96" s="32" t="n"/>
      <c r="AF96" s="31">
        <f>IF(AD96&lt;&gt;"",AD96+7,"")</f>
        <v/>
      </c>
      <c r="AG96" s="32" t="n"/>
      <c r="AH96" s="34">
        <f>IF(U96&lt;&gt;"",(COUNTIF(W96,"PAGADO")+COUNTIF(Y96,"PAGADO")+COUNTIF(AA96,"PAGADO")+COUNTIF(AC96,"PAGADO")+COUNTIF(AE96,"PAGADO")+COUNTIF(AG96,"PAGADO"))*U96,"")</f>
        <v/>
      </c>
      <c r="AI96" s="34">
        <f>IF(AND(P96&lt;&gt;"",AH96&lt;&gt;""),P96-AH96,IF(P96&lt;&gt;"",P96,""))</f>
        <v/>
      </c>
      <c r="AJ96" s="32" t="n"/>
      <c r="AK96" s="32" t="n"/>
      <c r="AL96" s="32" t="n"/>
      <c r="AM96" s="34" t="n"/>
      <c r="AN96" s="35" t="n"/>
    </row>
    <row r="97" ht="20" customHeight="1">
      <c r="A97" s="24">
        <f>IF(C97&lt;&gt;"",ROW()-3,"")</f>
        <v/>
      </c>
      <c r="B97" s="25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7" t="n"/>
      <c r="N97" s="28" t="n"/>
      <c r="O97" s="28" t="n"/>
      <c r="P97" s="28">
        <f>IF(AND(Q97="SÍ",N97&lt;&gt;"",O97&lt;&gt;""),N97-O97,"")</f>
        <v/>
      </c>
      <c r="Q97" s="26" t="n"/>
      <c r="R97" s="26" t="n"/>
      <c r="S97" s="26" t="n"/>
      <c r="T97" s="26">
        <f>IF(S97&lt;&gt;"",CHOOSE(WEEKDAY(S97,2),"Lunes","Martes","Miércoles","Jueves","Viernes","Sábado","Domingo"),"")</f>
        <v/>
      </c>
      <c r="U97" s="28">
        <f>IF(AND(P97&lt;&gt;"",R97&gt;0),ROUND(P97/R97,2),"")</f>
        <v/>
      </c>
      <c r="V97" s="25">
        <f>IF(AND(Q97="SÍ",S97&lt;&gt;""),S97,"")</f>
        <v/>
      </c>
      <c r="W97" s="26" t="n"/>
      <c r="X97" s="25">
        <f>IF(V97&lt;&gt;"",V97+7,"")</f>
        <v/>
      </c>
      <c r="Y97" s="26" t="n"/>
      <c r="Z97" s="25">
        <f>IF(X97&lt;&gt;"",X97+7,"")</f>
        <v/>
      </c>
      <c r="AA97" s="26" t="n"/>
      <c r="AB97" s="25">
        <f>IF(Z97&lt;&gt;"",Z97+7,"")</f>
        <v/>
      </c>
      <c r="AC97" s="26" t="n"/>
      <c r="AD97" s="25">
        <f>IF(AB97&lt;&gt;"",AB97+7,"")</f>
        <v/>
      </c>
      <c r="AE97" s="26" t="n"/>
      <c r="AF97" s="25">
        <f>IF(AD97&lt;&gt;"",AD97+7,"")</f>
        <v/>
      </c>
      <c r="AG97" s="26" t="n"/>
      <c r="AH97" s="28">
        <f>IF(U97&lt;&gt;"",(COUNTIF(W97,"PAGADO")+COUNTIF(Y97,"PAGADO")+COUNTIF(AA97,"PAGADO")+COUNTIF(AC97,"PAGADO")+COUNTIF(AE97,"PAGADO")+COUNTIF(AG97,"PAGADO"))*U97,"")</f>
        <v/>
      </c>
      <c r="AI97" s="28">
        <f>IF(AND(P97&lt;&gt;"",AH97&lt;&gt;""),P97-AH97,IF(P97&lt;&gt;"",P97,""))</f>
        <v/>
      </c>
      <c r="AJ97" s="26" t="n"/>
      <c r="AK97" s="26" t="n"/>
      <c r="AL97" s="26" t="n"/>
      <c r="AM97" s="28" t="n"/>
      <c r="AN97" s="29" t="n"/>
    </row>
    <row r="98" ht="20" customHeight="1">
      <c r="A98" s="30">
        <f>IF(C98&lt;&gt;"",ROW()-3,"")</f>
        <v/>
      </c>
      <c r="B98" s="31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3" t="n"/>
      <c r="N98" s="34" t="n"/>
      <c r="O98" s="34" t="n"/>
      <c r="P98" s="34">
        <f>IF(AND(Q98="SÍ",N98&lt;&gt;"",O98&lt;&gt;""),N98-O98,"")</f>
        <v/>
      </c>
      <c r="Q98" s="32" t="n"/>
      <c r="R98" s="32" t="n"/>
      <c r="S98" s="32" t="n"/>
      <c r="T98" s="32">
        <f>IF(S98&lt;&gt;"",CHOOSE(WEEKDAY(S98,2),"Lunes","Martes","Miércoles","Jueves","Viernes","Sábado","Domingo"),"")</f>
        <v/>
      </c>
      <c r="U98" s="34">
        <f>IF(AND(P98&lt;&gt;"",R98&gt;0),ROUND(P98/R98,2),"")</f>
        <v/>
      </c>
      <c r="V98" s="31">
        <f>IF(AND(Q98="SÍ",S98&lt;&gt;""),S98,"")</f>
        <v/>
      </c>
      <c r="W98" s="32" t="n"/>
      <c r="X98" s="31">
        <f>IF(V98&lt;&gt;"",V98+7,"")</f>
        <v/>
      </c>
      <c r="Y98" s="32" t="n"/>
      <c r="Z98" s="31">
        <f>IF(X98&lt;&gt;"",X98+7,"")</f>
        <v/>
      </c>
      <c r="AA98" s="32" t="n"/>
      <c r="AB98" s="31">
        <f>IF(Z98&lt;&gt;"",Z98+7,"")</f>
        <v/>
      </c>
      <c r="AC98" s="32" t="n"/>
      <c r="AD98" s="31">
        <f>IF(AB98&lt;&gt;"",AB98+7,"")</f>
        <v/>
      </c>
      <c r="AE98" s="32" t="n"/>
      <c r="AF98" s="31">
        <f>IF(AD98&lt;&gt;"",AD98+7,"")</f>
        <v/>
      </c>
      <c r="AG98" s="32" t="n"/>
      <c r="AH98" s="34">
        <f>IF(U98&lt;&gt;"",(COUNTIF(W98,"PAGADO")+COUNTIF(Y98,"PAGADO")+COUNTIF(AA98,"PAGADO")+COUNTIF(AC98,"PAGADO")+COUNTIF(AE98,"PAGADO")+COUNTIF(AG98,"PAGADO"))*U98,"")</f>
        <v/>
      </c>
      <c r="AI98" s="34">
        <f>IF(AND(P98&lt;&gt;"",AH98&lt;&gt;""),P98-AH98,IF(P98&lt;&gt;"",P98,""))</f>
        <v/>
      </c>
      <c r="AJ98" s="32" t="n"/>
      <c r="AK98" s="32" t="n"/>
      <c r="AL98" s="32" t="n"/>
      <c r="AM98" s="34" t="n"/>
      <c r="AN98" s="35" t="n"/>
    </row>
    <row r="99" ht="20" customHeight="1">
      <c r="A99" s="24">
        <f>IF(C99&lt;&gt;"",ROW()-3,"")</f>
        <v/>
      </c>
      <c r="B99" s="25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7" t="n"/>
      <c r="N99" s="28" t="n"/>
      <c r="O99" s="28" t="n"/>
      <c r="P99" s="28">
        <f>IF(AND(Q99="SÍ",N99&lt;&gt;"",O99&lt;&gt;""),N99-O99,"")</f>
        <v/>
      </c>
      <c r="Q99" s="26" t="n"/>
      <c r="R99" s="26" t="n"/>
      <c r="S99" s="26" t="n"/>
      <c r="T99" s="26">
        <f>IF(S99&lt;&gt;"",CHOOSE(WEEKDAY(S99,2),"Lunes","Martes","Miércoles","Jueves","Viernes","Sábado","Domingo"),"")</f>
        <v/>
      </c>
      <c r="U99" s="28">
        <f>IF(AND(P99&lt;&gt;"",R99&gt;0),ROUND(P99/R99,2),"")</f>
        <v/>
      </c>
      <c r="V99" s="25">
        <f>IF(AND(Q99="SÍ",S99&lt;&gt;""),S99,"")</f>
        <v/>
      </c>
      <c r="W99" s="26" t="n"/>
      <c r="X99" s="25">
        <f>IF(V99&lt;&gt;"",V99+7,"")</f>
        <v/>
      </c>
      <c r="Y99" s="26" t="n"/>
      <c r="Z99" s="25">
        <f>IF(X99&lt;&gt;"",X99+7,"")</f>
        <v/>
      </c>
      <c r="AA99" s="26" t="n"/>
      <c r="AB99" s="25">
        <f>IF(Z99&lt;&gt;"",Z99+7,"")</f>
        <v/>
      </c>
      <c r="AC99" s="26" t="n"/>
      <c r="AD99" s="25">
        <f>IF(AB99&lt;&gt;"",AB99+7,"")</f>
        <v/>
      </c>
      <c r="AE99" s="26" t="n"/>
      <c r="AF99" s="25">
        <f>IF(AD99&lt;&gt;"",AD99+7,"")</f>
        <v/>
      </c>
      <c r="AG99" s="26" t="n"/>
      <c r="AH99" s="28">
        <f>IF(U99&lt;&gt;"",(COUNTIF(W99,"PAGADO")+COUNTIF(Y99,"PAGADO")+COUNTIF(AA99,"PAGADO")+COUNTIF(AC99,"PAGADO")+COUNTIF(AE99,"PAGADO")+COUNTIF(AG99,"PAGADO"))*U99,"")</f>
        <v/>
      </c>
      <c r="AI99" s="28">
        <f>IF(AND(P99&lt;&gt;"",AH99&lt;&gt;""),P99-AH99,IF(P99&lt;&gt;"",P99,""))</f>
        <v/>
      </c>
      <c r="AJ99" s="26" t="n"/>
      <c r="AK99" s="26" t="n"/>
      <c r="AL99" s="26" t="n"/>
      <c r="AM99" s="28" t="n"/>
      <c r="AN99" s="29" t="n"/>
    </row>
    <row r="100" ht="20" customHeight="1">
      <c r="A100" s="30">
        <f>IF(C100&lt;&gt;"",ROW()-3,"")</f>
        <v/>
      </c>
      <c r="B100" s="31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3" t="n"/>
      <c r="N100" s="34" t="n"/>
      <c r="O100" s="34" t="n"/>
      <c r="P100" s="34">
        <f>IF(AND(Q100="SÍ",N100&lt;&gt;"",O100&lt;&gt;""),N100-O100,"")</f>
        <v/>
      </c>
      <c r="Q100" s="32" t="n"/>
      <c r="R100" s="32" t="n"/>
      <c r="S100" s="32" t="n"/>
      <c r="T100" s="32">
        <f>IF(S100&lt;&gt;"",CHOOSE(WEEKDAY(S100,2),"Lunes","Martes","Miércoles","Jueves","Viernes","Sábado","Domingo"),"")</f>
        <v/>
      </c>
      <c r="U100" s="34">
        <f>IF(AND(P100&lt;&gt;"",R100&gt;0),ROUND(P100/R100,2),"")</f>
        <v/>
      </c>
      <c r="V100" s="31">
        <f>IF(AND(Q100="SÍ",S100&lt;&gt;""),S100,"")</f>
        <v/>
      </c>
      <c r="W100" s="32" t="n"/>
      <c r="X100" s="31">
        <f>IF(V100&lt;&gt;"",V100+7,"")</f>
        <v/>
      </c>
      <c r="Y100" s="32" t="n"/>
      <c r="Z100" s="31">
        <f>IF(X100&lt;&gt;"",X100+7,"")</f>
        <v/>
      </c>
      <c r="AA100" s="32" t="n"/>
      <c r="AB100" s="31">
        <f>IF(Z100&lt;&gt;"",Z100+7,"")</f>
        <v/>
      </c>
      <c r="AC100" s="32" t="n"/>
      <c r="AD100" s="31">
        <f>IF(AB100&lt;&gt;"",AB100+7,"")</f>
        <v/>
      </c>
      <c r="AE100" s="32" t="n"/>
      <c r="AF100" s="31">
        <f>IF(AD100&lt;&gt;"",AD100+7,"")</f>
        <v/>
      </c>
      <c r="AG100" s="32" t="n"/>
      <c r="AH100" s="34">
        <f>IF(U100&lt;&gt;"",(COUNTIF(W100,"PAGADO")+COUNTIF(Y100,"PAGADO")+COUNTIF(AA100,"PAGADO")+COUNTIF(AC100,"PAGADO")+COUNTIF(AE100,"PAGADO")+COUNTIF(AG100,"PAGADO"))*U100,"")</f>
        <v/>
      </c>
      <c r="AI100" s="34">
        <f>IF(AND(P100&lt;&gt;"",AH100&lt;&gt;""),P100-AH100,IF(P100&lt;&gt;"",P100,""))</f>
        <v/>
      </c>
      <c r="AJ100" s="32" t="n"/>
      <c r="AK100" s="32" t="n"/>
      <c r="AL100" s="32" t="n"/>
      <c r="AM100" s="34" t="n"/>
      <c r="AN100" s="35" t="n"/>
    </row>
    <row r="101" ht="20" customHeight="1">
      <c r="A101" s="24">
        <f>IF(C101&lt;&gt;"",ROW()-3,"")</f>
        <v/>
      </c>
      <c r="B101" s="25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7" t="n"/>
      <c r="N101" s="28" t="n"/>
      <c r="O101" s="28" t="n"/>
      <c r="P101" s="28">
        <f>IF(AND(Q101="SÍ",N101&lt;&gt;"",O101&lt;&gt;""),N101-O101,"")</f>
        <v/>
      </c>
      <c r="Q101" s="26" t="n"/>
      <c r="R101" s="26" t="n"/>
      <c r="S101" s="26" t="n"/>
      <c r="T101" s="26">
        <f>IF(S101&lt;&gt;"",CHOOSE(WEEKDAY(S101,2),"Lunes","Martes","Miércoles","Jueves","Viernes","Sábado","Domingo"),"")</f>
        <v/>
      </c>
      <c r="U101" s="28">
        <f>IF(AND(P101&lt;&gt;"",R101&gt;0),ROUND(P101/R101,2),"")</f>
        <v/>
      </c>
      <c r="V101" s="25">
        <f>IF(AND(Q101="SÍ",S101&lt;&gt;""),S101,"")</f>
        <v/>
      </c>
      <c r="W101" s="26" t="n"/>
      <c r="X101" s="25">
        <f>IF(V101&lt;&gt;"",V101+7,"")</f>
        <v/>
      </c>
      <c r="Y101" s="26" t="n"/>
      <c r="Z101" s="25">
        <f>IF(X101&lt;&gt;"",X101+7,"")</f>
        <v/>
      </c>
      <c r="AA101" s="26" t="n"/>
      <c r="AB101" s="25">
        <f>IF(Z101&lt;&gt;"",Z101+7,"")</f>
        <v/>
      </c>
      <c r="AC101" s="26" t="n"/>
      <c r="AD101" s="25">
        <f>IF(AB101&lt;&gt;"",AB101+7,"")</f>
        <v/>
      </c>
      <c r="AE101" s="26" t="n"/>
      <c r="AF101" s="25">
        <f>IF(AD101&lt;&gt;"",AD101+7,"")</f>
        <v/>
      </c>
      <c r="AG101" s="26" t="n"/>
      <c r="AH101" s="28">
        <f>IF(U101&lt;&gt;"",(COUNTIF(W101,"PAGADO")+COUNTIF(Y101,"PAGADO")+COUNTIF(AA101,"PAGADO")+COUNTIF(AC101,"PAGADO")+COUNTIF(AE101,"PAGADO")+COUNTIF(AG101,"PAGADO"))*U101,"")</f>
        <v/>
      </c>
      <c r="AI101" s="28">
        <f>IF(AND(P101&lt;&gt;"",AH101&lt;&gt;""),P101-AH101,IF(P101&lt;&gt;"",P101,""))</f>
        <v/>
      </c>
      <c r="AJ101" s="26" t="n"/>
      <c r="AK101" s="26" t="n"/>
      <c r="AL101" s="26" t="n"/>
      <c r="AM101" s="28" t="n"/>
      <c r="AN101" s="29" t="n"/>
    </row>
    <row r="102" ht="20" customHeight="1">
      <c r="A102" s="30">
        <f>IF(C102&lt;&gt;"",ROW()-3,"")</f>
        <v/>
      </c>
      <c r="B102" s="31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3" t="n"/>
      <c r="N102" s="34" t="n"/>
      <c r="O102" s="34" t="n"/>
      <c r="P102" s="34">
        <f>IF(AND(Q102="SÍ",N102&lt;&gt;"",O102&lt;&gt;""),N102-O102,"")</f>
        <v/>
      </c>
      <c r="Q102" s="32" t="n"/>
      <c r="R102" s="32" t="n"/>
      <c r="S102" s="32" t="n"/>
      <c r="T102" s="32">
        <f>IF(S102&lt;&gt;"",CHOOSE(WEEKDAY(S102,2),"Lunes","Martes","Miércoles","Jueves","Viernes","Sábado","Domingo"),"")</f>
        <v/>
      </c>
      <c r="U102" s="34">
        <f>IF(AND(P102&lt;&gt;"",R102&gt;0),ROUND(P102/R102,2),"")</f>
        <v/>
      </c>
      <c r="V102" s="31">
        <f>IF(AND(Q102="SÍ",S102&lt;&gt;""),S102,"")</f>
        <v/>
      </c>
      <c r="W102" s="32" t="n"/>
      <c r="X102" s="31">
        <f>IF(V102&lt;&gt;"",V102+7,"")</f>
        <v/>
      </c>
      <c r="Y102" s="32" t="n"/>
      <c r="Z102" s="31">
        <f>IF(X102&lt;&gt;"",X102+7,"")</f>
        <v/>
      </c>
      <c r="AA102" s="32" t="n"/>
      <c r="AB102" s="31">
        <f>IF(Z102&lt;&gt;"",Z102+7,"")</f>
        <v/>
      </c>
      <c r="AC102" s="32" t="n"/>
      <c r="AD102" s="31">
        <f>IF(AB102&lt;&gt;"",AB102+7,"")</f>
        <v/>
      </c>
      <c r="AE102" s="32" t="n"/>
      <c r="AF102" s="31">
        <f>IF(AD102&lt;&gt;"",AD102+7,"")</f>
        <v/>
      </c>
      <c r="AG102" s="32" t="n"/>
      <c r="AH102" s="34">
        <f>IF(U102&lt;&gt;"",(COUNTIF(W102,"PAGADO")+COUNTIF(Y102,"PAGADO")+COUNTIF(AA102,"PAGADO")+COUNTIF(AC102,"PAGADO")+COUNTIF(AE102,"PAGADO")+COUNTIF(AG102,"PAGADO"))*U102,"")</f>
        <v/>
      </c>
      <c r="AI102" s="34">
        <f>IF(AND(P102&lt;&gt;"",AH102&lt;&gt;""),P102-AH102,IF(P102&lt;&gt;"",P102,""))</f>
        <v/>
      </c>
      <c r="AJ102" s="32" t="n"/>
      <c r="AK102" s="32" t="n"/>
      <c r="AL102" s="32" t="n"/>
      <c r="AM102" s="34" t="n"/>
      <c r="AN102" s="35" t="n"/>
    </row>
    <row r="103" ht="20" customHeight="1">
      <c r="A103" s="24">
        <f>IF(C103&lt;&gt;"",ROW()-3,"")</f>
        <v/>
      </c>
      <c r="B103" s="25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7" t="n"/>
      <c r="N103" s="28" t="n"/>
      <c r="O103" s="28" t="n"/>
      <c r="P103" s="28">
        <f>IF(AND(Q103="SÍ",N103&lt;&gt;"",O103&lt;&gt;""),N103-O103,"")</f>
        <v/>
      </c>
      <c r="Q103" s="26" t="n"/>
      <c r="R103" s="26" t="n"/>
      <c r="S103" s="26" t="n"/>
      <c r="T103" s="26">
        <f>IF(S103&lt;&gt;"",CHOOSE(WEEKDAY(S103,2),"Lunes","Martes","Miércoles","Jueves","Viernes","Sábado","Domingo"),"")</f>
        <v/>
      </c>
      <c r="U103" s="28">
        <f>IF(AND(P103&lt;&gt;"",R103&gt;0),ROUND(P103/R103,2),"")</f>
        <v/>
      </c>
      <c r="V103" s="25">
        <f>IF(AND(Q103="SÍ",S103&lt;&gt;""),S103,"")</f>
        <v/>
      </c>
      <c r="W103" s="26" t="n"/>
      <c r="X103" s="25">
        <f>IF(V103&lt;&gt;"",V103+7,"")</f>
        <v/>
      </c>
      <c r="Y103" s="26" t="n"/>
      <c r="Z103" s="25">
        <f>IF(X103&lt;&gt;"",X103+7,"")</f>
        <v/>
      </c>
      <c r="AA103" s="26" t="n"/>
      <c r="AB103" s="25">
        <f>IF(Z103&lt;&gt;"",Z103+7,"")</f>
        <v/>
      </c>
      <c r="AC103" s="26" t="n"/>
      <c r="AD103" s="25">
        <f>IF(AB103&lt;&gt;"",AB103+7,"")</f>
        <v/>
      </c>
      <c r="AE103" s="26" t="n"/>
      <c r="AF103" s="25">
        <f>IF(AD103&lt;&gt;"",AD103+7,"")</f>
        <v/>
      </c>
      <c r="AG103" s="26" t="n"/>
      <c r="AH103" s="28">
        <f>IF(U103&lt;&gt;"",(COUNTIF(W103,"PAGADO")+COUNTIF(Y103,"PAGADO")+COUNTIF(AA103,"PAGADO")+COUNTIF(AC103,"PAGADO")+COUNTIF(AE103,"PAGADO")+COUNTIF(AG103,"PAGADO"))*U103,"")</f>
        <v/>
      </c>
      <c r="AI103" s="28">
        <f>IF(AND(P103&lt;&gt;"",AH103&lt;&gt;""),P103-AH103,IF(P103&lt;&gt;"",P103,""))</f>
        <v/>
      </c>
      <c r="AJ103" s="26" t="n"/>
      <c r="AK103" s="26" t="n"/>
      <c r="AL103" s="26" t="n"/>
      <c r="AM103" s="28" t="n"/>
      <c r="AN103" s="29" t="n"/>
    </row>
    <row r="104" ht="20" customHeight="1">
      <c r="A104" s="30">
        <f>IF(C104&lt;&gt;"",ROW()-3,"")</f>
        <v/>
      </c>
      <c r="B104" s="31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3" t="n"/>
      <c r="N104" s="34" t="n"/>
      <c r="O104" s="34" t="n"/>
      <c r="P104" s="34">
        <f>IF(AND(Q104="SÍ",N104&lt;&gt;"",O104&lt;&gt;""),N104-O104,"")</f>
        <v/>
      </c>
      <c r="Q104" s="32" t="n"/>
      <c r="R104" s="32" t="n"/>
      <c r="S104" s="32" t="n"/>
      <c r="T104" s="32">
        <f>IF(S104&lt;&gt;"",CHOOSE(WEEKDAY(S104,2),"Lunes","Martes","Miércoles","Jueves","Viernes","Sábado","Domingo"),"")</f>
        <v/>
      </c>
      <c r="U104" s="34">
        <f>IF(AND(P104&lt;&gt;"",R104&gt;0),ROUND(P104/R104,2),"")</f>
        <v/>
      </c>
      <c r="V104" s="31">
        <f>IF(AND(Q104="SÍ",S104&lt;&gt;""),S104,"")</f>
        <v/>
      </c>
      <c r="W104" s="32" t="n"/>
      <c r="X104" s="31">
        <f>IF(V104&lt;&gt;"",V104+7,"")</f>
        <v/>
      </c>
      <c r="Y104" s="32" t="n"/>
      <c r="Z104" s="31">
        <f>IF(X104&lt;&gt;"",X104+7,"")</f>
        <v/>
      </c>
      <c r="AA104" s="32" t="n"/>
      <c r="AB104" s="31">
        <f>IF(Z104&lt;&gt;"",Z104+7,"")</f>
        <v/>
      </c>
      <c r="AC104" s="32" t="n"/>
      <c r="AD104" s="31">
        <f>IF(AB104&lt;&gt;"",AB104+7,"")</f>
        <v/>
      </c>
      <c r="AE104" s="32" t="n"/>
      <c r="AF104" s="31">
        <f>IF(AD104&lt;&gt;"",AD104+7,"")</f>
        <v/>
      </c>
      <c r="AG104" s="32" t="n"/>
      <c r="AH104" s="34">
        <f>IF(U104&lt;&gt;"",(COUNTIF(W104,"PAGADO")+COUNTIF(Y104,"PAGADO")+COUNTIF(AA104,"PAGADO")+COUNTIF(AC104,"PAGADO")+COUNTIF(AE104,"PAGADO")+COUNTIF(AG104,"PAGADO"))*U104,"")</f>
        <v/>
      </c>
      <c r="AI104" s="34">
        <f>IF(AND(P104&lt;&gt;"",AH104&lt;&gt;""),P104-AH104,IF(P104&lt;&gt;"",P104,""))</f>
        <v/>
      </c>
      <c r="AJ104" s="32" t="n"/>
      <c r="AK104" s="32" t="n"/>
      <c r="AL104" s="32" t="n"/>
      <c r="AM104" s="34" t="n"/>
      <c r="AN104" s="35" t="n"/>
    </row>
    <row r="105" ht="20" customHeight="1">
      <c r="A105" s="24">
        <f>IF(C105&lt;&gt;"",ROW()-3,"")</f>
        <v/>
      </c>
      <c r="B105" s="25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7" t="n"/>
      <c r="N105" s="28" t="n"/>
      <c r="O105" s="28" t="n"/>
      <c r="P105" s="28">
        <f>IF(AND(Q105="SÍ",N105&lt;&gt;"",O105&lt;&gt;""),N105-O105,"")</f>
        <v/>
      </c>
      <c r="Q105" s="26" t="n"/>
      <c r="R105" s="26" t="n"/>
      <c r="S105" s="26" t="n"/>
      <c r="T105" s="26">
        <f>IF(S105&lt;&gt;"",CHOOSE(WEEKDAY(S105,2),"Lunes","Martes","Miércoles","Jueves","Viernes","Sábado","Domingo"),"")</f>
        <v/>
      </c>
      <c r="U105" s="28">
        <f>IF(AND(P105&lt;&gt;"",R105&gt;0),ROUND(P105/R105,2),"")</f>
        <v/>
      </c>
      <c r="V105" s="25">
        <f>IF(AND(Q105="SÍ",S105&lt;&gt;""),S105,"")</f>
        <v/>
      </c>
      <c r="W105" s="26" t="n"/>
      <c r="X105" s="25">
        <f>IF(V105&lt;&gt;"",V105+7,"")</f>
        <v/>
      </c>
      <c r="Y105" s="26" t="n"/>
      <c r="Z105" s="25">
        <f>IF(X105&lt;&gt;"",X105+7,"")</f>
        <v/>
      </c>
      <c r="AA105" s="26" t="n"/>
      <c r="AB105" s="25">
        <f>IF(Z105&lt;&gt;"",Z105+7,"")</f>
        <v/>
      </c>
      <c r="AC105" s="26" t="n"/>
      <c r="AD105" s="25">
        <f>IF(AB105&lt;&gt;"",AB105+7,"")</f>
        <v/>
      </c>
      <c r="AE105" s="26" t="n"/>
      <c r="AF105" s="25">
        <f>IF(AD105&lt;&gt;"",AD105+7,"")</f>
        <v/>
      </c>
      <c r="AG105" s="26" t="n"/>
      <c r="AH105" s="28">
        <f>IF(U105&lt;&gt;"",(COUNTIF(W105,"PAGADO")+COUNTIF(Y105,"PAGADO")+COUNTIF(AA105,"PAGADO")+COUNTIF(AC105,"PAGADO")+COUNTIF(AE105,"PAGADO")+COUNTIF(AG105,"PAGADO"))*U105,"")</f>
        <v/>
      </c>
      <c r="AI105" s="28">
        <f>IF(AND(P105&lt;&gt;"",AH105&lt;&gt;""),P105-AH105,IF(P105&lt;&gt;"",P105,""))</f>
        <v/>
      </c>
      <c r="AJ105" s="26" t="n"/>
      <c r="AK105" s="26" t="n"/>
      <c r="AL105" s="26" t="n"/>
      <c r="AM105" s="28" t="n"/>
      <c r="AN105" s="29" t="n"/>
    </row>
    <row r="106" ht="20" customHeight="1">
      <c r="A106" s="30">
        <f>IF(C106&lt;&gt;"",ROW()-3,"")</f>
        <v/>
      </c>
      <c r="B106" s="31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3" t="n"/>
      <c r="N106" s="34" t="n"/>
      <c r="O106" s="34" t="n"/>
      <c r="P106" s="34">
        <f>IF(AND(Q106="SÍ",N106&lt;&gt;"",O106&lt;&gt;""),N106-O106,"")</f>
        <v/>
      </c>
      <c r="Q106" s="32" t="n"/>
      <c r="R106" s="32" t="n"/>
      <c r="S106" s="32" t="n"/>
      <c r="T106" s="32">
        <f>IF(S106&lt;&gt;"",CHOOSE(WEEKDAY(S106,2),"Lunes","Martes","Miércoles","Jueves","Viernes","Sábado","Domingo"),"")</f>
        <v/>
      </c>
      <c r="U106" s="34">
        <f>IF(AND(P106&lt;&gt;"",R106&gt;0),ROUND(P106/R106,2),"")</f>
        <v/>
      </c>
      <c r="V106" s="31">
        <f>IF(AND(Q106="SÍ",S106&lt;&gt;""),S106,"")</f>
        <v/>
      </c>
      <c r="W106" s="32" t="n"/>
      <c r="X106" s="31">
        <f>IF(V106&lt;&gt;"",V106+7,"")</f>
        <v/>
      </c>
      <c r="Y106" s="32" t="n"/>
      <c r="Z106" s="31">
        <f>IF(X106&lt;&gt;"",X106+7,"")</f>
        <v/>
      </c>
      <c r="AA106" s="32" t="n"/>
      <c r="AB106" s="31">
        <f>IF(Z106&lt;&gt;"",Z106+7,"")</f>
        <v/>
      </c>
      <c r="AC106" s="32" t="n"/>
      <c r="AD106" s="31">
        <f>IF(AB106&lt;&gt;"",AB106+7,"")</f>
        <v/>
      </c>
      <c r="AE106" s="32" t="n"/>
      <c r="AF106" s="31">
        <f>IF(AD106&lt;&gt;"",AD106+7,"")</f>
        <v/>
      </c>
      <c r="AG106" s="32" t="n"/>
      <c r="AH106" s="34">
        <f>IF(U106&lt;&gt;"",(COUNTIF(W106,"PAGADO")+COUNTIF(Y106,"PAGADO")+COUNTIF(AA106,"PAGADO")+COUNTIF(AC106,"PAGADO")+COUNTIF(AE106,"PAGADO")+COUNTIF(AG106,"PAGADO"))*U106,"")</f>
        <v/>
      </c>
      <c r="AI106" s="34">
        <f>IF(AND(P106&lt;&gt;"",AH106&lt;&gt;""),P106-AH106,IF(P106&lt;&gt;"",P106,""))</f>
        <v/>
      </c>
      <c r="AJ106" s="32" t="n"/>
      <c r="AK106" s="32" t="n"/>
      <c r="AL106" s="32" t="n"/>
      <c r="AM106" s="34" t="n"/>
      <c r="AN106" s="35" t="n"/>
    </row>
    <row r="107" ht="20" customHeight="1">
      <c r="A107" s="24">
        <f>IF(C107&lt;&gt;"",ROW()-3,"")</f>
        <v/>
      </c>
      <c r="B107" s="25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7" t="n"/>
      <c r="N107" s="28" t="n"/>
      <c r="O107" s="28" t="n"/>
      <c r="P107" s="28">
        <f>IF(AND(Q107="SÍ",N107&lt;&gt;"",O107&lt;&gt;""),N107-O107,"")</f>
        <v/>
      </c>
      <c r="Q107" s="26" t="n"/>
      <c r="R107" s="26" t="n"/>
      <c r="S107" s="26" t="n"/>
      <c r="T107" s="26">
        <f>IF(S107&lt;&gt;"",CHOOSE(WEEKDAY(S107,2),"Lunes","Martes","Miércoles","Jueves","Viernes","Sábado","Domingo"),"")</f>
        <v/>
      </c>
      <c r="U107" s="28">
        <f>IF(AND(P107&lt;&gt;"",R107&gt;0),ROUND(P107/R107,2),"")</f>
        <v/>
      </c>
      <c r="V107" s="25">
        <f>IF(AND(Q107="SÍ",S107&lt;&gt;""),S107,"")</f>
        <v/>
      </c>
      <c r="W107" s="26" t="n"/>
      <c r="X107" s="25">
        <f>IF(V107&lt;&gt;"",V107+7,"")</f>
        <v/>
      </c>
      <c r="Y107" s="26" t="n"/>
      <c r="Z107" s="25">
        <f>IF(X107&lt;&gt;"",X107+7,"")</f>
        <v/>
      </c>
      <c r="AA107" s="26" t="n"/>
      <c r="AB107" s="25">
        <f>IF(Z107&lt;&gt;"",Z107+7,"")</f>
        <v/>
      </c>
      <c r="AC107" s="26" t="n"/>
      <c r="AD107" s="25">
        <f>IF(AB107&lt;&gt;"",AB107+7,"")</f>
        <v/>
      </c>
      <c r="AE107" s="26" t="n"/>
      <c r="AF107" s="25">
        <f>IF(AD107&lt;&gt;"",AD107+7,"")</f>
        <v/>
      </c>
      <c r="AG107" s="26" t="n"/>
      <c r="AH107" s="28">
        <f>IF(U107&lt;&gt;"",(COUNTIF(W107,"PAGADO")+COUNTIF(Y107,"PAGADO")+COUNTIF(AA107,"PAGADO")+COUNTIF(AC107,"PAGADO")+COUNTIF(AE107,"PAGADO")+COUNTIF(AG107,"PAGADO"))*U107,"")</f>
        <v/>
      </c>
      <c r="AI107" s="28">
        <f>IF(AND(P107&lt;&gt;"",AH107&lt;&gt;""),P107-AH107,IF(P107&lt;&gt;"",P107,""))</f>
        <v/>
      </c>
      <c r="AJ107" s="26" t="n"/>
      <c r="AK107" s="26" t="n"/>
      <c r="AL107" s="26" t="n"/>
      <c r="AM107" s="28" t="n"/>
      <c r="AN107" s="29" t="n"/>
    </row>
    <row r="108" ht="20" customHeight="1">
      <c r="A108" s="30">
        <f>IF(C108&lt;&gt;"",ROW()-3,"")</f>
        <v/>
      </c>
      <c r="B108" s="31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3" t="n"/>
      <c r="N108" s="34" t="n"/>
      <c r="O108" s="34" t="n"/>
      <c r="P108" s="34">
        <f>IF(AND(Q108="SÍ",N108&lt;&gt;"",O108&lt;&gt;""),N108-O108,"")</f>
        <v/>
      </c>
      <c r="Q108" s="32" t="n"/>
      <c r="R108" s="32" t="n"/>
      <c r="S108" s="32" t="n"/>
      <c r="T108" s="32">
        <f>IF(S108&lt;&gt;"",CHOOSE(WEEKDAY(S108,2),"Lunes","Martes","Miércoles","Jueves","Viernes","Sábado","Domingo"),"")</f>
        <v/>
      </c>
      <c r="U108" s="34">
        <f>IF(AND(P108&lt;&gt;"",R108&gt;0),ROUND(P108/R108,2),"")</f>
        <v/>
      </c>
      <c r="V108" s="31">
        <f>IF(AND(Q108="SÍ",S108&lt;&gt;""),S108,"")</f>
        <v/>
      </c>
      <c r="W108" s="32" t="n"/>
      <c r="X108" s="31">
        <f>IF(V108&lt;&gt;"",V108+7,"")</f>
        <v/>
      </c>
      <c r="Y108" s="32" t="n"/>
      <c r="Z108" s="31">
        <f>IF(X108&lt;&gt;"",X108+7,"")</f>
        <v/>
      </c>
      <c r="AA108" s="32" t="n"/>
      <c r="AB108" s="31">
        <f>IF(Z108&lt;&gt;"",Z108+7,"")</f>
        <v/>
      </c>
      <c r="AC108" s="32" t="n"/>
      <c r="AD108" s="31">
        <f>IF(AB108&lt;&gt;"",AB108+7,"")</f>
        <v/>
      </c>
      <c r="AE108" s="32" t="n"/>
      <c r="AF108" s="31">
        <f>IF(AD108&lt;&gt;"",AD108+7,"")</f>
        <v/>
      </c>
      <c r="AG108" s="32" t="n"/>
      <c r="AH108" s="34">
        <f>IF(U108&lt;&gt;"",(COUNTIF(W108,"PAGADO")+COUNTIF(Y108,"PAGADO")+COUNTIF(AA108,"PAGADO")+COUNTIF(AC108,"PAGADO")+COUNTIF(AE108,"PAGADO")+COUNTIF(AG108,"PAGADO"))*U108,"")</f>
        <v/>
      </c>
      <c r="AI108" s="34">
        <f>IF(AND(P108&lt;&gt;"",AH108&lt;&gt;""),P108-AH108,IF(P108&lt;&gt;"",P108,""))</f>
        <v/>
      </c>
      <c r="AJ108" s="32" t="n"/>
      <c r="AK108" s="32" t="n"/>
      <c r="AL108" s="32" t="n"/>
      <c r="AM108" s="34" t="n"/>
      <c r="AN108" s="35" t="n"/>
    </row>
    <row r="109" ht="20" customHeight="1">
      <c r="A109" s="24">
        <f>IF(C109&lt;&gt;"",ROW()-3,"")</f>
        <v/>
      </c>
      <c r="B109" s="25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7" t="n"/>
      <c r="N109" s="28" t="n"/>
      <c r="O109" s="28" t="n"/>
      <c r="P109" s="28">
        <f>IF(AND(Q109="SÍ",N109&lt;&gt;"",O109&lt;&gt;""),N109-O109,"")</f>
        <v/>
      </c>
      <c r="Q109" s="26" t="n"/>
      <c r="R109" s="26" t="n"/>
      <c r="S109" s="26" t="n"/>
      <c r="T109" s="26">
        <f>IF(S109&lt;&gt;"",CHOOSE(WEEKDAY(S109,2),"Lunes","Martes","Miércoles","Jueves","Viernes","Sábado","Domingo"),"")</f>
        <v/>
      </c>
      <c r="U109" s="28">
        <f>IF(AND(P109&lt;&gt;"",R109&gt;0),ROUND(P109/R109,2),"")</f>
        <v/>
      </c>
      <c r="V109" s="25">
        <f>IF(AND(Q109="SÍ",S109&lt;&gt;""),S109,"")</f>
        <v/>
      </c>
      <c r="W109" s="26" t="n"/>
      <c r="X109" s="25">
        <f>IF(V109&lt;&gt;"",V109+7,"")</f>
        <v/>
      </c>
      <c r="Y109" s="26" t="n"/>
      <c r="Z109" s="25">
        <f>IF(X109&lt;&gt;"",X109+7,"")</f>
        <v/>
      </c>
      <c r="AA109" s="26" t="n"/>
      <c r="AB109" s="25">
        <f>IF(Z109&lt;&gt;"",Z109+7,"")</f>
        <v/>
      </c>
      <c r="AC109" s="26" t="n"/>
      <c r="AD109" s="25">
        <f>IF(AB109&lt;&gt;"",AB109+7,"")</f>
        <v/>
      </c>
      <c r="AE109" s="26" t="n"/>
      <c r="AF109" s="25">
        <f>IF(AD109&lt;&gt;"",AD109+7,"")</f>
        <v/>
      </c>
      <c r="AG109" s="26" t="n"/>
      <c r="AH109" s="28">
        <f>IF(U109&lt;&gt;"",(COUNTIF(W109,"PAGADO")+COUNTIF(Y109,"PAGADO")+COUNTIF(AA109,"PAGADO")+COUNTIF(AC109,"PAGADO")+COUNTIF(AE109,"PAGADO")+COUNTIF(AG109,"PAGADO"))*U109,"")</f>
        <v/>
      </c>
      <c r="AI109" s="28">
        <f>IF(AND(P109&lt;&gt;"",AH109&lt;&gt;""),P109-AH109,IF(P109&lt;&gt;"",P109,""))</f>
        <v/>
      </c>
      <c r="AJ109" s="26" t="n"/>
      <c r="AK109" s="26" t="n"/>
      <c r="AL109" s="26" t="n"/>
      <c r="AM109" s="28" t="n"/>
      <c r="AN109" s="29" t="n"/>
    </row>
    <row r="110" ht="20" customHeight="1">
      <c r="A110" s="30">
        <f>IF(C110&lt;&gt;"",ROW()-3,"")</f>
        <v/>
      </c>
      <c r="B110" s="31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3" t="n"/>
      <c r="N110" s="34" t="n"/>
      <c r="O110" s="34" t="n"/>
      <c r="P110" s="34">
        <f>IF(AND(Q110="SÍ",N110&lt;&gt;"",O110&lt;&gt;""),N110-O110,"")</f>
        <v/>
      </c>
      <c r="Q110" s="32" t="n"/>
      <c r="R110" s="32" t="n"/>
      <c r="S110" s="32" t="n"/>
      <c r="T110" s="32">
        <f>IF(S110&lt;&gt;"",CHOOSE(WEEKDAY(S110,2),"Lunes","Martes","Miércoles","Jueves","Viernes","Sábado","Domingo"),"")</f>
        <v/>
      </c>
      <c r="U110" s="34">
        <f>IF(AND(P110&lt;&gt;"",R110&gt;0),ROUND(P110/R110,2),"")</f>
        <v/>
      </c>
      <c r="V110" s="31">
        <f>IF(AND(Q110="SÍ",S110&lt;&gt;""),S110,"")</f>
        <v/>
      </c>
      <c r="W110" s="32" t="n"/>
      <c r="X110" s="31">
        <f>IF(V110&lt;&gt;"",V110+7,"")</f>
        <v/>
      </c>
      <c r="Y110" s="32" t="n"/>
      <c r="Z110" s="31">
        <f>IF(X110&lt;&gt;"",X110+7,"")</f>
        <v/>
      </c>
      <c r="AA110" s="32" t="n"/>
      <c r="AB110" s="31">
        <f>IF(Z110&lt;&gt;"",Z110+7,"")</f>
        <v/>
      </c>
      <c r="AC110" s="32" t="n"/>
      <c r="AD110" s="31">
        <f>IF(AB110&lt;&gt;"",AB110+7,"")</f>
        <v/>
      </c>
      <c r="AE110" s="32" t="n"/>
      <c r="AF110" s="31">
        <f>IF(AD110&lt;&gt;"",AD110+7,"")</f>
        <v/>
      </c>
      <c r="AG110" s="32" t="n"/>
      <c r="AH110" s="34">
        <f>IF(U110&lt;&gt;"",(COUNTIF(W110,"PAGADO")+COUNTIF(Y110,"PAGADO")+COUNTIF(AA110,"PAGADO")+COUNTIF(AC110,"PAGADO")+COUNTIF(AE110,"PAGADO")+COUNTIF(AG110,"PAGADO"))*U110,"")</f>
        <v/>
      </c>
      <c r="AI110" s="34">
        <f>IF(AND(P110&lt;&gt;"",AH110&lt;&gt;""),P110-AH110,IF(P110&lt;&gt;"",P110,""))</f>
        <v/>
      </c>
      <c r="AJ110" s="32" t="n"/>
      <c r="AK110" s="32" t="n"/>
      <c r="AL110" s="32" t="n"/>
      <c r="AM110" s="34" t="n"/>
      <c r="AN110" s="35" t="n"/>
    </row>
    <row r="111" ht="20" customHeight="1">
      <c r="A111" s="24">
        <f>IF(C111&lt;&gt;"",ROW()-3,"")</f>
        <v/>
      </c>
      <c r="B111" s="25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7" t="n"/>
      <c r="N111" s="28" t="n"/>
      <c r="O111" s="28" t="n"/>
      <c r="P111" s="28">
        <f>IF(AND(Q111="SÍ",N111&lt;&gt;"",O111&lt;&gt;""),N111-O111,"")</f>
        <v/>
      </c>
      <c r="Q111" s="26" t="n"/>
      <c r="R111" s="26" t="n"/>
      <c r="S111" s="26" t="n"/>
      <c r="T111" s="26">
        <f>IF(S111&lt;&gt;"",CHOOSE(WEEKDAY(S111,2),"Lunes","Martes","Miércoles","Jueves","Viernes","Sábado","Domingo"),"")</f>
        <v/>
      </c>
      <c r="U111" s="28">
        <f>IF(AND(P111&lt;&gt;"",R111&gt;0),ROUND(P111/R111,2),"")</f>
        <v/>
      </c>
      <c r="V111" s="25">
        <f>IF(AND(Q111="SÍ",S111&lt;&gt;""),S111,"")</f>
        <v/>
      </c>
      <c r="W111" s="26" t="n"/>
      <c r="X111" s="25">
        <f>IF(V111&lt;&gt;"",V111+7,"")</f>
        <v/>
      </c>
      <c r="Y111" s="26" t="n"/>
      <c r="Z111" s="25">
        <f>IF(X111&lt;&gt;"",X111+7,"")</f>
        <v/>
      </c>
      <c r="AA111" s="26" t="n"/>
      <c r="AB111" s="25">
        <f>IF(Z111&lt;&gt;"",Z111+7,"")</f>
        <v/>
      </c>
      <c r="AC111" s="26" t="n"/>
      <c r="AD111" s="25">
        <f>IF(AB111&lt;&gt;"",AB111+7,"")</f>
        <v/>
      </c>
      <c r="AE111" s="26" t="n"/>
      <c r="AF111" s="25">
        <f>IF(AD111&lt;&gt;"",AD111+7,"")</f>
        <v/>
      </c>
      <c r="AG111" s="26" t="n"/>
      <c r="AH111" s="28">
        <f>IF(U111&lt;&gt;"",(COUNTIF(W111,"PAGADO")+COUNTIF(Y111,"PAGADO")+COUNTIF(AA111,"PAGADO")+COUNTIF(AC111,"PAGADO")+COUNTIF(AE111,"PAGADO")+COUNTIF(AG111,"PAGADO"))*U111,"")</f>
        <v/>
      </c>
      <c r="AI111" s="28">
        <f>IF(AND(P111&lt;&gt;"",AH111&lt;&gt;""),P111-AH111,IF(P111&lt;&gt;"",P111,""))</f>
        <v/>
      </c>
      <c r="AJ111" s="26" t="n"/>
      <c r="AK111" s="26" t="n"/>
      <c r="AL111" s="26" t="n"/>
      <c r="AM111" s="28" t="n"/>
      <c r="AN111" s="29" t="n"/>
    </row>
    <row r="112" ht="20" customHeight="1">
      <c r="A112" s="30">
        <f>IF(C112&lt;&gt;"",ROW()-3,"")</f>
        <v/>
      </c>
      <c r="B112" s="31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3" t="n"/>
      <c r="N112" s="34" t="n"/>
      <c r="O112" s="34" t="n"/>
      <c r="P112" s="34">
        <f>IF(AND(Q112="SÍ",N112&lt;&gt;"",O112&lt;&gt;""),N112-O112,"")</f>
        <v/>
      </c>
      <c r="Q112" s="32" t="n"/>
      <c r="R112" s="32" t="n"/>
      <c r="S112" s="32" t="n"/>
      <c r="T112" s="32">
        <f>IF(S112&lt;&gt;"",CHOOSE(WEEKDAY(S112,2),"Lunes","Martes","Miércoles","Jueves","Viernes","Sábado","Domingo"),"")</f>
        <v/>
      </c>
      <c r="U112" s="34">
        <f>IF(AND(P112&lt;&gt;"",R112&gt;0),ROUND(P112/R112,2),"")</f>
        <v/>
      </c>
      <c r="V112" s="31">
        <f>IF(AND(Q112="SÍ",S112&lt;&gt;""),S112,"")</f>
        <v/>
      </c>
      <c r="W112" s="32" t="n"/>
      <c r="X112" s="31">
        <f>IF(V112&lt;&gt;"",V112+7,"")</f>
        <v/>
      </c>
      <c r="Y112" s="32" t="n"/>
      <c r="Z112" s="31">
        <f>IF(X112&lt;&gt;"",X112+7,"")</f>
        <v/>
      </c>
      <c r="AA112" s="32" t="n"/>
      <c r="AB112" s="31">
        <f>IF(Z112&lt;&gt;"",Z112+7,"")</f>
        <v/>
      </c>
      <c r="AC112" s="32" t="n"/>
      <c r="AD112" s="31">
        <f>IF(AB112&lt;&gt;"",AB112+7,"")</f>
        <v/>
      </c>
      <c r="AE112" s="32" t="n"/>
      <c r="AF112" s="31">
        <f>IF(AD112&lt;&gt;"",AD112+7,"")</f>
        <v/>
      </c>
      <c r="AG112" s="32" t="n"/>
      <c r="AH112" s="34">
        <f>IF(U112&lt;&gt;"",(COUNTIF(W112,"PAGADO")+COUNTIF(Y112,"PAGADO")+COUNTIF(AA112,"PAGADO")+COUNTIF(AC112,"PAGADO")+COUNTIF(AE112,"PAGADO")+COUNTIF(AG112,"PAGADO"))*U112,"")</f>
        <v/>
      </c>
      <c r="AI112" s="34">
        <f>IF(AND(P112&lt;&gt;"",AH112&lt;&gt;""),P112-AH112,IF(P112&lt;&gt;"",P112,""))</f>
        <v/>
      </c>
      <c r="AJ112" s="32" t="n"/>
      <c r="AK112" s="32" t="n"/>
      <c r="AL112" s="32" t="n"/>
      <c r="AM112" s="34" t="n"/>
      <c r="AN112" s="35" t="n"/>
    </row>
    <row r="113" ht="20" customHeight="1">
      <c r="A113" s="24">
        <f>IF(C113&lt;&gt;"",ROW()-3,"")</f>
        <v/>
      </c>
      <c r="B113" s="25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7" t="n"/>
      <c r="N113" s="28" t="n"/>
      <c r="O113" s="28" t="n"/>
      <c r="P113" s="28">
        <f>IF(AND(Q113="SÍ",N113&lt;&gt;"",O113&lt;&gt;""),N113-O113,"")</f>
        <v/>
      </c>
      <c r="Q113" s="26" t="n"/>
      <c r="R113" s="26" t="n"/>
      <c r="S113" s="26" t="n"/>
      <c r="T113" s="26">
        <f>IF(S113&lt;&gt;"",CHOOSE(WEEKDAY(S113,2),"Lunes","Martes","Miércoles","Jueves","Viernes","Sábado","Domingo"),"")</f>
        <v/>
      </c>
      <c r="U113" s="28">
        <f>IF(AND(P113&lt;&gt;"",R113&gt;0),ROUND(P113/R113,2),"")</f>
        <v/>
      </c>
      <c r="V113" s="25">
        <f>IF(AND(Q113="SÍ",S113&lt;&gt;""),S113,"")</f>
        <v/>
      </c>
      <c r="W113" s="26" t="n"/>
      <c r="X113" s="25">
        <f>IF(V113&lt;&gt;"",V113+7,"")</f>
        <v/>
      </c>
      <c r="Y113" s="26" t="n"/>
      <c r="Z113" s="25">
        <f>IF(X113&lt;&gt;"",X113+7,"")</f>
        <v/>
      </c>
      <c r="AA113" s="26" t="n"/>
      <c r="AB113" s="25">
        <f>IF(Z113&lt;&gt;"",Z113+7,"")</f>
        <v/>
      </c>
      <c r="AC113" s="26" t="n"/>
      <c r="AD113" s="25">
        <f>IF(AB113&lt;&gt;"",AB113+7,"")</f>
        <v/>
      </c>
      <c r="AE113" s="26" t="n"/>
      <c r="AF113" s="25">
        <f>IF(AD113&lt;&gt;"",AD113+7,"")</f>
        <v/>
      </c>
      <c r="AG113" s="26" t="n"/>
      <c r="AH113" s="28">
        <f>IF(U113&lt;&gt;"",(COUNTIF(W113,"PAGADO")+COUNTIF(Y113,"PAGADO")+COUNTIF(AA113,"PAGADO")+COUNTIF(AC113,"PAGADO")+COUNTIF(AE113,"PAGADO")+COUNTIF(AG113,"PAGADO"))*U113,"")</f>
        <v/>
      </c>
      <c r="AI113" s="28">
        <f>IF(AND(P113&lt;&gt;"",AH113&lt;&gt;""),P113-AH113,IF(P113&lt;&gt;"",P113,""))</f>
        <v/>
      </c>
      <c r="AJ113" s="26" t="n"/>
      <c r="AK113" s="26" t="n"/>
      <c r="AL113" s="26" t="n"/>
      <c r="AM113" s="28" t="n"/>
      <c r="AN113" s="29" t="n"/>
    </row>
    <row r="114" ht="20" customHeight="1">
      <c r="A114" s="30">
        <f>IF(C114&lt;&gt;"",ROW()-3,"")</f>
        <v/>
      </c>
      <c r="B114" s="31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3" t="n"/>
      <c r="N114" s="34" t="n"/>
      <c r="O114" s="34" t="n"/>
      <c r="P114" s="34">
        <f>IF(AND(Q114="SÍ",N114&lt;&gt;"",O114&lt;&gt;""),N114-O114,"")</f>
        <v/>
      </c>
      <c r="Q114" s="32" t="n"/>
      <c r="R114" s="32" t="n"/>
      <c r="S114" s="32" t="n"/>
      <c r="T114" s="32">
        <f>IF(S114&lt;&gt;"",CHOOSE(WEEKDAY(S114,2),"Lunes","Martes","Miércoles","Jueves","Viernes","Sábado","Domingo"),"")</f>
        <v/>
      </c>
      <c r="U114" s="34">
        <f>IF(AND(P114&lt;&gt;"",R114&gt;0),ROUND(P114/R114,2),"")</f>
        <v/>
      </c>
      <c r="V114" s="31">
        <f>IF(AND(Q114="SÍ",S114&lt;&gt;""),S114,"")</f>
        <v/>
      </c>
      <c r="W114" s="32" t="n"/>
      <c r="X114" s="31">
        <f>IF(V114&lt;&gt;"",V114+7,"")</f>
        <v/>
      </c>
      <c r="Y114" s="32" t="n"/>
      <c r="Z114" s="31">
        <f>IF(X114&lt;&gt;"",X114+7,"")</f>
        <v/>
      </c>
      <c r="AA114" s="32" t="n"/>
      <c r="AB114" s="31">
        <f>IF(Z114&lt;&gt;"",Z114+7,"")</f>
        <v/>
      </c>
      <c r="AC114" s="32" t="n"/>
      <c r="AD114" s="31">
        <f>IF(AB114&lt;&gt;"",AB114+7,"")</f>
        <v/>
      </c>
      <c r="AE114" s="32" t="n"/>
      <c r="AF114" s="31">
        <f>IF(AD114&lt;&gt;"",AD114+7,"")</f>
        <v/>
      </c>
      <c r="AG114" s="32" t="n"/>
      <c r="AH114" s="34">
        <f>IF(U114&lt;&gt;"",(COUNTIF(W114,"PAGADO")+COUNTIF(Y114,"PAGADO")+COUNTIF(AA114,"PAGADO")+COUNTIF(AC114,"PAGADO")+COUNTIF(AE114,"PAGADO")+COUNTIF(AG114,"PAGADO"))*U114,"")</f>
        <v/>
      </c>
      <c r="AI114" s="34">
        <f>IF(AND(P114&lt;&gt;"",AH114&lt;&gt;""),P114-AH114,IF(P114&lt;&gt;"",P114,""))</f>
        <v/>
      </c>
      <c r="AJ114" s="32" t="n"/>
      <c r="AK114" s="32" t="n"/>
      <c r="AL114" s="32" t="n"/>
      <c r="AM114" s="34" t="n"/>
      <c r="AN114" s="35" t="n"/>
    </row>
    <row r="115" ht="20" customHeight="1">
      <c r="A115" s="24">
        <f>IF(C115&lt;&gt;"",ROW()-3,"")</f>
        <v/>
      </c>
      <c r="B115" s="25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7" t="n"/>
      <c r="N115" s="28" t="n"/>
      <c r="O115" s="28" t="n"/>
      <c r="P115" s="28">
        <f>IF(AND(Q115="SÍ",N115&lt;&gt;"",O115&lt;&gt;""),N115-O115,"")</f>
        <v/>
      </c>
      <c r="Q115" s="26" t="n"/>
      <c r="R115" s="26" t="n"/>
      <c r="S115" s="26" t="n"/>
      <c r="T115" s="26">
        <f>IF(S115&lt;&gt;"",CHOOSE(WEEKDAY(S115,2),"Lunes","Martes","Miércoles","Jueves","Viernes","Sábado","Domingo"),"")</f>
        <v/>
      </c>
      <c r="U115" s="28">
        <f>IF(AND(P115&lt;&gt;"",R115&gt;0),ROUND(P115/R115,2),"")</f>
        <v/>
      </c>
      <c r="V115" s="25">
        <f>IF(AND(Q115="SÍ",S115&lt;&gt;""),S115,"")</f>
        <v/>
      </c>
      <c r="W115" s="26" t="n"/>
      <c r="X115" s="25">
        <f>IF(V115&lt;&gt;"",V115+7,"")</f>
        <v/>
      </c>
      <c r="Y115" s="26" t="n"/>
      <c r="Z115" s="25">
        <f>IF(X115&lt;&gt;"",X115+7,"")</f>
        <v/>
      </c>
      <c r="AA115" s="26" t="n"/>
      <c r="AB115" s="25">
        <f>IF(Z115&lt;&gt;"",Z115+7,"")</f>
        <v/>
      </c>
      <c r="AC115" s="26" t="n"/>
      <c r="AD115" s="25">
        <f>IF(AB115&lt;&gt;"",AB115+7,"")</f>
        <v/>
      </c>
      <c r="AE115" s="26" t="n"/>
      <c r="AF115" s="25">
        <f>IF(AD115&lt;&gt;"",AD115+7,"")</f>
        <v/>
      </c>
      <c r="AG115" s="26" t="n"/>
      <c r="AH115" s="28">
        <f>IF(U115&lt;&gt;"",(COUNTIF(W115,"PAGADO")+COUNTIF(Y115,"PAGADO")+COUNTIF(AA115,"PAGADO")+COUNTIF(AC115,"PAGADO")+COUNTIF(AE115,"PAGADO")+COUNTIF(AG115,"PAGADO"))*U115,"")</f>
        <v/>
      </c>
      <c r="AI115" s="28">
        <f>IF(AND(P115&lt;&gt;"",AH115&lt;&gt;""),P115-AH115,IF(P115&lt;&gt;"",P115,""))</f>
        <v/>
      </c>
      <c r="AJ115" s="26" t="n"/>
      <c r="AK115" s="26" t="n"/>
      <c r="AL115" s="26" t="n"/>
      <c r="AM115" s="28" t="n"/>
      <c r="AN115" s="29" t="n"/>
    </row>
    <row r="116" ht="20" customHeight="1">
      <c r="A116" s="30">
        <f>IF(C116&lt;&gt;"",ROW()-3,"")</f>
        <v/>
      </c>
      <c r="B116" s="31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3" t="n"/>
      <c r="N116" s="34" t="n"/>
      <c r="O116" s="34" t="n"/>
      <c r="P116" s="34">
        <f>IF(AND(Q116="SÍ",N116&lt;&gt;"",O116&lt;&gt;""),N116-O116,"")</f>
        <v/>
      </c>
      <c r="Q116" s="32" t="n"/>
      <c r="R116" s="32" t="n"/>
      <c r="S116" s="32" t="n"/>
      <c r="T116" s="32">
        <f>IF(S116&lt;&gt;"",CHOOSE(WEEKDAY(S116,2),"Lunes","Martes","Miércoles","Jueves","Viernes","Sábado","Domingo"),"")</f>
        <v/>
      </c>
      <c r="U116" s="34">
        <f>IF(AND(P116&lt;&gt;"",R116&gt;0),ROUND(P116/R116,2),"")</f>
        <v/>
      </c>
      <c r="V116" s="31">
        <f>IF(AND(Q116="SÍ",S116&lt;&gt;""),S116,"")</f>
        <v/>
      </c>
      <c r="W116" s="32" t="n"/>
      <c r="X116" s="31">
        <f>IF(V116&lt;&gt;"",V116+7,"")</f>
        <v/>
      </c>
      <c r="Y116" s="32" t="n"/>
      <c r="Z116" s="31">
        <f>IF(X116&lt;&gt;"",X116+7,"")</f>
        <v/>
      </c>
      <c r="AA116" s="32" t="n"/>
      <c r="AB116" s="31">
        <f>IF(Z116&lt;&gt;"",Z116+7,"")</f>
        <v/>
      </c>
      <c r="AC116" s="32" t="n"/>
      <c r="AD116" s="31">
        <f>IF(AB116&lt;&gt;"",AB116+7,"")</f>
        <v/>
      </c>
      <c r="AE116" s="32" t="n"/>
      <c r="AF116" s="31">
        <f>IF(AD116&lt;&gt;"",AD116+7,"")</f>
        <v/>
      </c>
      <c r="AG116" s="32" t="n"/>
      <c r="AH116" s="34">
        <f>IF(U116&lt;&gt;"",(COUNTIF(W116,"PAGADO")+COUNTIF(Y116,"PAGADO")+COUNTIF(AA116,"PAGADO")+COUNTIF(AC116,"PAGADO")+COUNTIF(AE116,"PAGADO")+COUNTIF(AG116,"PAGADO"))*U116,"")</f>
        <v/>
      </c>
      <c r="AI116" s="34">
        <f>IF(AND(P116&lt;&gt;"",AH116&lt;&gt;""),P116-AH116,IF(P116&lt;&gt;"",P116,""))</f>
        <v/>
      </c>
      <c r="AJ116" s="32" t="n"/>
      <c r="AK116" s="32" t="n"/>
      <c r="AL116" s="32" t="n"/>
      <c r="AM116" s="34" t="n"/>
      <c r="AN116" s="35" t="n"/>
    </row>
    <row r="117" ht="20" customHeight="1">
      <c r="A117" s="24">
        <f>IF(C117&lt;&gt;"",ROW()-3,"")</f>
        <v/>
      </c>
      <c r="B117" s="25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7" t="n"/>
      <c r="N117" s="28" t="n"/>
      <c r="O117" s="28" t="n"/>
      <c r="P117" s="28">
        <f>IF(AND(Q117="SÍ",N117&lt;&gt;"",O117&lt;&gt;""),N117-O117,"")</f>
        <v/>
      </c>
      <c r="Q117" s="26" t="n"/>
      <c r="R117" s="26" t="n"/>
      <c r="S117" s="26" t="n"/>
      <c r="T117" s="26">
        <f>IF(S117&lt;&gt;"",CHOOSE(WEEKDAY(S117,2),"Lunes","Martes","Miércoles","Jueves","Viernes","Sábado","Domingo"),"")</f>
        <v/>
      </c>
      <c r="U117" s="28">
        <f>IF(AND(P117&lt;&gt;"",R117&gt;0),ROUND(P117/R117,2),"")</f>
        <v/>
      </c>
      <c r="V117" s="25">
        <f>IF(AND(Q117="SÍ",S117&lt;&gt;""),S117,"")</f>
        <v/>
      </c>
      <c r="W117" s="26" t="n"/>
      <c r="X117" s="25">
        <f>IF(V117&lt;&gt;"",V117+7,"")</f>
        <v/>
      </c>
      <c r="Y117" s="26" t="n"/>
      <c r="Z117" s="25">
        <f>IF(X117&lt;&gt;"",X117+7,"")</f>
        <v/>
      </c>
      <c r="AA117" s="26" t="n"/>
      <c r="AB117" s="25">
        <f>IF(Z117&lt;&gt;"",Z117+7,"")</f>
        <v/>
      </c>
      <c r="AC117" s="26" t="n"/>
      <c r="AD117" s="25">
        <f>IF(AB117&lt;&gt;"",AB117+7,"")</f>
        <v/>
      </c>
      <c r="AE117" s="26" t="n"/>
      <c r="AF117" s="25">
        <f>IF(AD117&lt;&gt;"",AD117+7,"")</f>
        <v/>
      </c>
      <c r="AG117" s="26" t="n"/>
      <c r="AH117" s="28">
        <f>IF(U117&lt;&gt;"",(COUNTIF(W117,"PAGADO")+COUNTIF(Y117,"PAGADO")+COUNTIF(AA117,"PAGADO")+COUNTIF(AC117,"PAGADO")+COUNTIF(AE117,"PAGADO")+COUNTIF(AG117,"PAGADO"))*U117,"")</f>
        <v/>
      </c>
      <c r="AI117" s="28">
        <f>IF(AND(P117&lt;&gt;"",AH117&lt;&gt;""),P117-AH117,IF(P117&lt;&gt;"",P117,""))</f>
        <v/>
      </c>
      <c r="AJ117" s="26" t="n"/>
      <c r="AK117" s="26" t="n"/>
      <c r="AL117" s="26" t="n"/>
      <c r="AM117" s="28" t="n"/>
      <c r="AN117" s="29" t="n"/>
    </row>
    <row r="118" ht="20" customHeight="1">
      <c r="A118" s="30">
        <f>IF(C118&lt;&gt;"",ROW()-3,"")</f>
        <v/>
      </c>
      <c r="B118" s="31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3" t="n"/>
      <c r="N118" s="34" t="n"/>
      <c r="O118" s="34" t="n"/>
      <c r="P118" s="34">
        <f>IF(AND(Q118="SÍ",N118&lt;&gt;"",O118&lt;&gt;""),N118-O118,"")</f>
        <v/>
      </c>
      <c r="Q118" s="32" t="n"/>
      <c r="R118" s="32" t="n"/>
      <c r="S118" s="32" t="n"/>
      <c r="T118" s="32">
        <f>IF(S118&lt;&gt;"",CHOOSE(WEEKDAY(S118,2),"Lunes","Martes","Miércoles","Jueves","Viernes","Sábado","Domingo"),"")</f>
        <v/>
      </c>
      <c r="U118" s="34">
        <f>IF(AND(P118&lt;&gt;"",R118&gt;0),ROUND(P118/R118,2),"")</f>
        <v/>
      </c>
      <c r="V118" s="31">
        <f>IF(AND(Q118="SÍ",S118&lt;&gt;""),S118,"")</f>
        <v/>
      </c>
      <c r="W118" s="32" t="n"/>
      <c r="X118" s="31">
        <f>IF(V118&lt;&gt;"",V118+7,"")</f>
        <v/>
      </c>
      <c r="Y118" s="32" t="n"/>
      <c r="Z118" s="31">
        <f>IF(X118&lt;&gt;"",X118+7,"")</f>
        <v/>
      </c>
      <c r="AA118" s="32" t="n"/>
      <c r="AB118" s="31">
        <f>IF(Z118&lt;&gt;"",Z118+7,"")</f>
        <v/>
      </c>
      <c r="AC118" s="32" t="n"/>
      <c r="AD118" s="31">
        <f>IF(AB118&lt;&gt;"",AB118+7,"")</f>
        <v/>
      </c>
      <c r="AE118" s="32" t="n"/>
      <c r="AF118" s="31">
        <f>IF(AD118&lt;&gt;"",AD118+7,"")</f>
        <v/>
      </c>
      <c r="AG118" s="32" t="n"/>
      <c r="AH118" s="34">
        <f>IF(U118&lt;&gt;"",(COUNTIF(W118,"PAGADO")+COUNTIF(Y118,"PAGADO")+COUNTIF(AA118,"PAGADO")+COUNTIF(AC118,"PAGADO")+COUNTIF(AE118,"PAGADO")+COUNTIF(AG118,"PAGADO"))*U118,"")</f>
        <v/>
      </c>
      <c r="AI118" s="34">
        <f>IF(AND(P118&lt;&gt;"",AH118&lt;&gt;""),P118-AH118,IF(P118&lt;&gt;"",P118,""))</f>
        <v/>
      </c>
      <c r="AJ118" s="32" t="n"/>
      <c r="AK118" s="32" t="n"/>
      <c r="AL118" s="32" t="n"/>
      <c r="AM118" s="34" t="n"/>
      <c r="AN118" s="35" t="n"/>
    </row>
    <row r="119" ht="20" customHeight="1">
      <c r="A119" s="24">
        <f>IF(C119&lt;&gt;"",ROW()-3,"")</f>
        <v/>
      </c>
      <c r="B119" s="25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7" t="n"/>
      <c r="N119" s="28" t="n"/>
      <c r="O119" s="28" t="n"/>
      <c r="P119" s="28">
        <f>IF(AND(Q119="SÍ",N119&lt;&gt;"",O119&lt;&gt;""),N119-O119,"")</f>
        <v/>
      </c>
      <c r="Q119" s="26" t="n"/>
      <c r="R119" s="26" t="n"/>
      <c r="S119" s="26" t="n"/>
      <c r="T119" s="26">
        <f>IF(S119&lt;&gt;"",CHOOSE(WEEKDAY(S119,2),"Lunes","Martes","Miércoles","Jueves","Viernes","Sábado","Domingo"),"")</f>
        <v/>
      </c>
      <c r="U119" s="28">
        <f>IF(AND(P119&lt;&gt;"",R119&gt;0),ROUND(P119/R119,2),"")</f>
        <v/>
      </c>
      <c r="V119" s="25">
        <f>IF(AND(Q119="SÍ",S119&lt;&gt;""),S119,"")</f>
        <v/>
      </c>
      <c r="W119" s="26" t="n"/>
      <c r="X119" s="25">
        <f>IF(V119&lt;&gt;"",V119+7,"")</f>
        <v/>
      </c>
      <c r="Y119" s="26" t="n"/>
      <c r="Z119" s="25">
        <f>IF(X119&lt;&gt;"",X119+7,"")</f>
        <v/>
      </c>
      <c r="AA119" s="26" t="n"/>
      <c r="AB119" s="25">
        <f>IF(Z119&lt;&gt;"",Z119+7,"")</f>
        <v/>
      </c>
      <c r="AC119" s="26" t="n"/>
      <c r="AD119" s="25">
        <f>IF(AB119&lt;&gt;"",AB119+7,"")</f>
        <v/>
      </c>
      <c r="AE119" s="26" t="n"/>
      <c r="AF119" s="25">
        <f>IF(AD119&lt;&gt;"",AD119+7,"")</f>
        <v/>
      </c>
      <c r="AG119" s="26" t="n"/>
      <c r="AH119" s="28">
        <f>IF(U119&lt;&gt;"",(COUNTIF(W119,"PAGADO")+COUNTIF(Y119,"PAGADO")+COUNTIF(AA119,"PAGADO")+COUNTIF(AC119,"PAGADO")+COUNTIF(AE119,"PAGADO")+COUNTIF(AG119,"PAGADO"))*U119,"")</f>
        <v/>
      </c>
      <c r="AI119" s="28">
        <f>IF(AND(P119&lt;&gt;"",AH119&lt;&gt;""),P119-AH119,IF(P119&lt;&gt;"",P119,""))</f>
        <v/>
      </c>
      <c r="AJ119" s="26" t="n"/>
      <c r="AK119" s="26" t="n"/>
      <c r="AL119" s="26" t="n"/>
      <c r="AM119" s="28" t="n"/>
      <c r="AN119" s="29" t="n"/>
    </row>
    <row r="120" ht="20" customHeight="1">
      <c r="A120" s="30">
        <f>IF(C120&lt;&gt;"",ROW()-3,"")</f>
        <v/>
      </c>
      <c r="B120" s="31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3" t="n"/>
      <c r="N120" s="34" t="n"/>
      <c r="O120" s="34" t="n"/>
      <c r="P120" s="34">
        <f>IF(AND(Q120="SÍ",N120&lt;&gt;"",O120&lt;&gt;""),N120-O120,"")</f>
        <v/>
      </c>
      <c r="Q120" s="32" t="n"/>
      <c r="R120" s="32" t="n"/>
      <c r="S120" s="32" t="n"/>
      <c r="T120" s="32">
        <f>IF(S120&lt;&gt;"",CHOOSE(WEEKDAY(S120,2),"Lunes","Martes","Miércoles","Jueves","Viernes","Sábado","Domingo"),"")</f>
        <v/>
      </c>
      <c r="U120" s="34">
        <f>IF(AND(P120&lt;&gt;"",R120&gt;0),ROUND(P120/R120,2),"")</f>
        <v/>
      </c>
      <c r="V120" s="31">
        <f>IF(AND(Q120="SÍ",S120&lt;&gt;""),S120,"")</f>
        <v/>
      </c>
      <c r="W120" s="32" t="n"/>
      <c r="X120" s="31">
        <f>IF(V120&lt;&gt;"",V120+7,"")</f>
        <v/>
      </c>
      <c r="Y120" s="32" t="n"/>
      <c r="Z120" s="31">
        <f>IF(X120&lt;&gt;"",X120+7,"")</f>
        <v/>
      </c>
      <c r="AA120" s="32" t="n"/>
      <c r="AB120" s="31">
        <f>IF(Z120&lt;&gt;"",Z120+7,"")</f>
        <v/>
      </c>
      <c r="AC120" s="32" t="n"/>
      <c r="AD120" s="31">
        <f>IF(AB120&lt;&gt;"",AB120+7,"")</f>
        <v/>
      </c>
      <c r="AE120" s="32" t="n"/>
      <c r="AF120" s="31">
        <f>IF(AD120&lt;&gt;"",AD120+7,"")</f>
        <v/>
      </c>
      <c r="AG120" s="32" t="n"/>
      <c r="AH120" s="34">
        <f>IF(U120&lt;&gt;"",(COUNTIF(W120,"PAGADO")+COUNTIF(Y120,"PAGADO")+COUNTIF(AA120,"PAGADO")+COUNTIF(AC120,"PAGADO")+COUNTIF(AE120,"PAGADO")+COUNTIF(AG120,"PAGADO"))*U120,"")</f>
        <v/>
      </c>
      <c r="AI120" s="34">
        <f>IF(AND(P120&lt;&gt;"",AH120&lt;&gt;""),P120-AH120,IF(P120&lt;&gt;"",P120,""))</f>
        <v/>
      </c>
      <c r="AJ120" s="32" t="n"/>
      <c r="AK120" s="32" t="n"/>
      <c r="AL120" s="32" t="n"/>
      <c r="AM120" s="34" t="n"/>
      <c r="AN120" s="35" t="n"/>
    </row>
    <row r="121" ht="20" customHeight="1">
      <c r="A121" s="24">
        <f>IF(C121&lt;&gt;"",ROW()-3,"")</f>
        <v/>
      </c>
      <c r="B121" s="25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7" t="n"/>
      <c r="N121" s="28" t="n"/>
      <c r="O121" s="28" t="n"/>
      <c r="P121" s="28">
        <f>IF(AND(Q121="SÍ",N121&lt;&gt;"",O121&lt;&gt;""),N121-O121,"")</f>
        <v/>
      </c>
      <c r="Q121" s="26" t="n"/>
      <c r="R121" s="26" t="n"/>
      <c r="S121" s="26" t="n"/>
      <c r="T121" s="26">
        <f>IF(S121&lt;&gt;"",CHOOSE(WEEKDAY(S121,2),"Lunes","Martes","Miércoles","Jueves","Viernes","Sábado","Domingo"),"")</f>
        <v/>
      </c>
      <c r="U121" s="28">
        <f>IF(AND(P121&lt;&gt;"",R121&gt;0),ROUND(P121/R121,2),"")</f>
        <v/>
      </c>
      <c r="V121" s="25">
        <f>IF(AND(Q121="SÍ",S121&lt;&gt;""),S121,"")</f>
        <v/>
      </c>
      <c r="W121" s="26" t="n"/>
      <c r="X121" s="25">
        <f>IF(V121&lt;&gt;"",V121+7,"")</f>
        <v/>
      </c>
      <c r="Y121" s="26" t="n"/>
      <c r="Z121" s="25">
        <f>IF(X121&lt;&gt;"",X121+7,"")</f>
        <v/>
      </c>
      <c r="AA121" s="26" t="n"/>
      <c r="AB121" s="25">
        <f>IF(Z121&lt;&gt;"",Z121+7,"")</f>
        <v/>
      </c>
      <c r="AC121" s="26" t="n"/>
      <c r="AD121" s="25">
        <f>IF(AB121&lt;&gt;"",AB121+7,"")</f>
        <v/>
      </c>
      <c r="AE121" s="26" t="n"/>
      <c r="AF121" s="25">
        <f>IF(AD121&lt;&gt;"",AD121+7,"")</f>
        <v/>
      </c>
      <c r="AG121" s="26" t="n"/>
      <c r="AH121" s="28">
        <f>IF(U121&lt;&gt;"",(COUNTIF(W121,"PAGADO")+COUNTIF(Y121,"PAGADO")+COUNTIF(AA121,"PAGADO")+COUNTIF(AC121,"PAGADO")+COUNTIF(AE121,"PAGADO")+COUNTIF(AG121,"PAGADO"))*U121,"")</f>
        <v/>
      </c>
      <c r="AI121" s="28">
        <f>IF(AND(P121&lt;&gt;"",AH121&lt;&gt;""),P121-AH121,IF(P121&lt;&gt;"",P121,""))</f>
        <v/>
      </c>
      <c r="AJ121" s="26" t="n"/>
      <c r="AK121" s="26" t="n"/>
      <c r="AL121" s="26" t="n"/>
      <c r="AM121" s="28" t="n"/>
      <c r="AN121" s="29" t="n"/>
    </row>
    <row r="122" ht="20" customHeight="1">
      <c r="A122" s="30">
        <f>IF(C122&lt;&gt;"",ROW()-3,"")</f>
        <v/>
      </c>
      <c r="B122" s="31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3" t="n"/>
      <c r="N122" s="34" t="n"/>
      <c r="O122" s="34" t="n"/>
      <c r="P122" s="34">
        <f>IF(AND(Q122="SÍ",N122&lt;&gt;"",O122&lt;&gt;""),N122-O122,"")</f>
        <v/>
      </c>
      <c r="Q122" s="32" t="n"/>
      <c r="R122" s="32" t="n"/>
      <c r="S122" s="32" t="n"/>
      <c r="T122" s="32">
        <f>IF(S122&lt;&gt;"",CHOOSE(WEEKDAY(S122,2),"Lunes","Martes","Miércoles","Jueves","Viernes","Sábado","Domingo"),"")</f>
        <v/>
      </c>
      <c r="U122" s="34">
        <f>IF(AND(P122&lt;&gt;"",R122&gt;0),ROUND(P122/R122,2),"")</f>
        <v/>
      </c>
      <c r="V122" s="31">
        <f>IF(AND(Q122="SÍ",S122&lt;&gt;""),S122,"")</f>
        <v/>
      </c>
      <c r="W122" s="32" t="n"/>
      <c r="X122" s="31">
        <f>IF(V122&lt;&gt;"",V122+7,"")</f>
        <v/>
      </c>
      <c r="Y122" s="32" t="n"/>
      <c r="Z122" s="31">
        <f>IF(X122&lt;&gt;"",X122+7,"")</f>
        <v/>
      </c>
      <c r="AA122" s="32" t="n"/>
      <c r="AB122" s="31">
        <f>IF(Z122&lt;&gt;"",Z122+7,"")</f>
        <v/>
      </c>
      <c r="AC122" s="32" t="n"/>
      <c r="AD122" s="31">
        <f>IF(AB122&lt;&gt;"",AB122+7,"")</f>
        <v/>
      </c>
      <c r="AE122" s="32" t="n"/>
      <c r="AF122" s="31">
        <f>IF(AD122&lt;&gt;"",AD122+7,"")</f>
        <v/>
      </c>
      <c r="AG122" s="32" t="n"/>
      <c r="AH122" s="34">
        <f>IF(U122&lt;&gt;"",(COUNTIF(W122,"PAGADO")+COUNTIF(Y122,"PAGADO")+COUNTIF(AA122,"PAGADO")+COUNTIF(AC122,"PAGADO")+COUNTIF(AE122,"PAGADO")+COUNTIF(AG122,"PAGADO"))*U122,"")</f>
        <v/>
      </c>
      <c r="AI122" s="34">
        <f>IF(AND(P122&lt;&gt;"",AH122&lt;&gt;""),P122-AH122,IF(P122&lt;&gt;"",P122,""))</f>
        <v/>
      </c>
      <c r="AJ122" s="32" t="n"/>
      <c r="AK122" s="32" t="n"/>
      <c r="AL122" s="32" t="n"/>
      <c r="AM122" s="34" t="n"/>
      <c r="AN122" s="35" t="n"/>
    </row>
    <row r="123" ht="20" customHeight="1">
      <c r="A123" s="24">
        <f>IF(C123&lt;&gt;"",ROW()-3,"")</f>
        <v/>
      </c>
      <c r="B123" s="25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7" t="n"/>
      <c r="N123" s="28" t="n"/>
      <c r="O123" s="28" t="n"/>
      <c r="P123" s="28">
        <f>IF(AND(Q123="SÍ",N123&lt;&gt;"",O123&lt;&gt;""),N123-O123,"")</f>
        <v/>
      </c>
      <c r="Q123" s="26" t="n"/>
      <c r="R123" s="26" t="n"/>
      <c r="S123" s="26" t="n"/>
      <c r="T123" s="26">
        <f>IF(S123&lt;&gt;"",CHOOSE(WEEKDAY(S123,2),"Lunes","Martes","Miércoles","Jueves","Viernes","Sábado","Domingo"),"")</f>
        <v/>
      </c>
      <c r="U123" s="28">
        <f>IF(AND(P123&lt;&gt;"",R123&gt;0),ROUND(P123/R123,2),"")</f>
        <v/>
      </c>
      <c r="V123" s="25">
        <f>IF(AND(Q123="SÍ",S123&lt;&gt;""),S123,"")</f>
        <v/>
      </c>
      <c r="W123" s="26" t="n"/>
      <c r="X123" s="25">
        <f>IF(V123&lt;&gt;"",V123+7,"")</f>
        <v/>
      </c>
      <c r="Y123" s="26" t="n"/>
      <c r="Z123" s="25">
        <f>IF(X123&lt;&gt;"",X123+7,"")</f>
        <v/>
      </c>
      <c r="AA123" s="26" t="n"/>
      <c r="AB123" s="25">
        <f>IF(Z123&lt;&gt;"",Z123+7,"")</f>
        <v/>
      </c>
      <c r="AC123" s="26" t="n"/>
      <c r="AD123" s="25">
        <f>IF(AB123&lt;&gt;"",AB123+7,"")</f>
        <v/>
      </c>
      <c r="AE123" s="26" t="n"/>
      <c r="AF123" s="25">
        <f>IF(AD123&lt;&gt;"",AD123+7,"")</f>
        <v/>
      </c>
      <c r="AG123" s="26" t="n"/>
      <c r="AH123" s="28">
        <f>IF(U123&lt;&gt;"",(COUNTIF(W123,"PAGADO")+COUNTIF(Y123,"PAGADO")+COUNTIF(AA123,"PAGADO")+COUNTIF(AC123,"PAGADO")+COUNTIF(AE123,"PAGADO")+COUNTIF(AG123,"PAGADO"))*U123,"")</f>
        <v/>
      </c>
      <c r="AI123" s="28">
        <f>IF(AND(P123&lt;&gt;"",AH123&lt;&gt;""),P123-AH123,IF(P123&lt;&gt;"",P123,""))</f>
        <v/>
      </c>
      <c r="AJ123" s="26" t="n"/>
      <c r="AK123" s="26" t="n"/>
      <c r="AL123" s="26" t="n"/>
      <c r="AM123" s="28" t="n"/>
      <c r="AN123" s="29" t="n"/>
    </row>
    <row r="124" ht="20" customHeight="1">
      <c r="A124" s="30">
        <f>IF(C124&lt;&gt;"",ROW()-3,"")</f>
        <v/>
      </c>
      <c r="B124" s="31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3" t="n"/>
      <c r="N124" s="34" t="n"/>
      <c r="O124" s="34" t="n"/>
      <c r="P124" s="34">
        <f>IF(AND(Q124="SÍ",N124&lt;&gt;"",O124&lt;&gt;""),N124-O124,"")</f>
        <v/>
      </c>
      <c r="Q124" s="32" t="n"/>
      <c r="R124" s="32" t="n"/>
      <c r="S124" s="32" t="n"/>
      <c r="T124" s="32">
        <f>IF(S124&lt;&gt;"",CHOOSE(WEEKDAY(S124,2),"Lunes","Martes","Miércoles","Jueves","Viernes","Sábado","Domingo"),"")</f>
        <v/>
      </c>
      <c r="U124" s="34">
        <f>IF(AND(P124&lt;&gt;"",R124&gt;0),ROUND(P124/R124,2),"")</f>
        <v/>
      </c>
      <c r="V124" s="31">
        <f>IF(AND(Q124="SÍ",S124&lt;&gt;""),S124,"")</f>
        <v/>
      </c>
      <c r="W124" s="32" t="n"/>
      <c r="X124" s="31">
        <f>IF(V124&lt;&gt;"",V124+7,"")</f>
        <v/>
      </c>
      <c r="Y124" s="32" t="n"/>
      <c r="Z124" s="31">
        <f>IF(X124&lt;&gt;"",X124+7,"")</f>
        <v/>
      </c>
      <c r="AA124" s="32" t="n"/>
      <c r="AB124" s="31">
        <f>IF(Z124&lt;&gt;"",Z124+7,"")</f>
        <v/>
      </c>
      <c r="AC124" s="32" t="n"/>
      <c r="AD124" s="31">
        <f>IF(AB124&lt;&gt;"",AB124+7,"")</f>
        <v/>
      </c>
      <c r="AE124" s="32" t="n"/>
      <c r="AF124" s="31">
        <f>IF(AD124&lt;&gt;"",AD124+7,"")</f>
        <v/>
      </c>
      <c r="AG124" s="32" t="n"/>
      <c r="AH124" s="34">
        <f>IF(U124&lt;&gt;"",(COUNTIF(W124,"PAGADO")+COUNTIF(Y124,"PAGADO")+COUNTIF(AA124,"PAGADO")+COUNTIF(AC124,"PAGADO")+COUNTIF(AE124,"PAGADO")+COUNTIF(AG124,"PAGADO"))*U124,"")</f>
        <v/>
      </c>
      <c r="AI124" s="34">
        <f>IF(AND(P124&lt;&gt;"",AH124&lt;&gt;""),P124-AH124,IF(P124&lt;&gt;"",P124,""))</f>
        <v/>
      </c>
      <c r="AJ124" s="32" t="n"/>
      <c r="AK124" s="32" t="n"/>
      <c r="AL124" s="32" t="n"/>
      <c r="AM124" s="34" t="n"/>
      <c r="AN124" s="35" t="n"/>
    </row>
    <row r="125" ht="20" customHeight="1">
      <c r="A125" s="24">
        <f>IF(C125&lt;&gt;"",ROW()-3,"")</f>
        <v/>
      </c>
      <c r="B125" s="25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7" t="n"/>
      <c r="N125" s="28" t="n"/>
      <c r="O125" s="28" t="n"/>
      <c r="P125" s="28">
        <f>IF(AND(Q125="SÍ",N125&lt;&gt;"",O125&lt;&gt;""),N125-O125,"")</f>
        <v/>
      </c>
      <c r="Q125" s="26" t="n"/>
      <c r="R125" s="26" t="n"/>
      <c r="S125" s="26" t="n"/>
      <c r="T125" s="26">
        <f>IF(S125&lt;&gt;"",CHOOSE(WEEKDAY(S125,2),"Lunes","Martes","Miércoles","Jueves","Viernes","Sábado","Domingo"),"")</f>
        <v/>
      </c>
      <c r="U125" s="28">
        <f>IF(AND(P125&lt;&gt;"",R125&gt;0),ROUND(P125/R125,2),"")</f>
        <v/>
      </c>
      <c r="V125" s="25">
        <f>IF(AND(Q125="SÍ",S125&lt;&gt;""),S125,"")</f>
        <v/>
      </c>
      <c r="W125" s="26" t="n"/>
      <c r="X125" s="25">
        <f>IF(V125&lt;&gt;"",V125+7,"")</f>
        <v/>
      </c>
      <c r="Y125" s="26" t="n"/>
      <c r="Z125" s="25">
        <f>IF(X125&lt;&gt;"",X125+7,"")</f>
        <v/>
      </c>
      <c r="AA125" s="26" t="n"/>
      <c r="AB125" s="25">
        <f>IF(Z125&lt;&gt;"",Z125+7,"")</f>
        <v/>
      </c>
      <c r="AC125" s="26" t="n"/>
      <c r="AD125" s="25">
        <f>IF(AB125&lt;&gt;"",AB125+7,"")</f>
        <v/>
      </c>
      <c r="AE125" s="26" t="n"/>
      <c r="AF125" s="25">
        <f>IF(AD125&lt;&gt;"",AD125+7,"")</f>
        <v/>
      </c>
      <c r="AG125" s="26" t="n"/>
      <c r="AH125" s="28">
        <f>IF(U125&lt;&gt;"",(COUNTIF(W125,"PAGADO")+COUNTIF(Y125,"PAGADO")+COUNTIF(AA125,"PAGADO")+COUNTIF(AC125,"PAGADO")+COUNTIF(AE125,"PAGADO")+COUNTIF(AG125,"PAGADO"))*U125,"")</f>
        <v/>
      </c>
      <c r="AI125" s="28">
        <f>IF(AND(P125&lt;&gt;"",AH125&lt;&gt;""),P125-AH125,IF(P125&lt;&gt;"",P125,""))</f>
        <v/>
      </c>
      <c r="AJ125" s="26" t="n"/>
      <c r="AK125" s="26" t="n"/>
      <c r="AL125" s="26" t="n"/>
      <c r="AM125" s="28" t="n"/>
      <c r="AN125" s="29" t="n"/>
    </row>
    <row r="126" ht="20" customHeight="1">
      <c r="A126" s="30">
        <f>IF(C126&lt;&gt;"",ROW()-3,"")</f>
        <v/>
      </c>
      <c r="B126" s="31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3" t="n"/>
      <c r="N126" s="34" t="n"/>
      <c r="O126" s="34" t="n"/>
      <c r="P126" s="34">
        <f>IF(AND(Q126="SÍ",N126&lt;&gt;"",O126&lt;&gt;""),N126-O126,"")</f>
        <v/>
      </c>
      <c r="Q126" s="32" t="n"/>
      <c r="R126" s="32" t="n"/>
      <c r="S126" s="32" t="n"/>
      <c r="T126" s="32">
        <f>IF(S126&lt;&gt;"",CHOOSE(WEEKDAY(S126,2),"Lunes","Martes","Miércoles","Jueves","Viernes","Sábado","Domingo"),"")</f>
        <v/>
      </c>
      <c r="U126" s="34">
        <f>IF(AND(P126&lt;&gt;"",R126&gt;0),ROUND(P126/R126,2),"")</f>
        <v/>
      </c>
      <c r="V126" s="31">
        <f>IF(AND(Q126="SÍ",S126&lt;&gt;""),S126,"")</f>
        <v/>
      </c>
      <c r="W126" s="32" t="n"/>
      <c r="X126" s="31">
        <f>IF(V126&lt;&gt;"",V126+7,"")</f>
        <v/>
      </c>
      <c r="Y126" s="32" t="n"/>
      <c r="Z126" s="31">
        <f>IF(X126&lt;&gt;"",X126+7,"")</f>
        <v/>
      </c>
      <c r="AA126" s="32" t="n"/>
      <c r="AB126" s="31">
        <f>IF(Z126&lt;&gt;"",Z126+7,"")</f>
        <v/>
      </c>
      <c r="AC126" s="32" t="n"/>
      <c r="AD126" s="31">
        <f>IF(AB126&lt;&gt;"",AB126+7,"")</f>
        <v/>
      </c>
      <c r="AE126" s="32" t="n"/>
      <c r="AF126" s="31">
        <f>IF(AD126&lt;&gt;"",AD126+7,"")</f>
        <v/>
      </c>
      <c r="AG126" s="32" t="n"/>
      <c r="AH126" s="34">
        <f>IF(U126&lt;&gt;"",(COUNTIF(W126,"PAGADO")+COUNTIF(Y126,"PAGADO")+COUNTIF(AA126,"PAGADO")+COUNTIF(AC126,"PAGADO")+COUNTIF(AE126,"PAGADO")+COUNTIF(AG126,"PAGADO"))*U126,"")</f>
        <v/>
      </c>
      <c r="AI126" s="34">
        <f>IF(AND(P126&lt;&gt;"",AH126&lt;&gt;""),P126-AH126,IF(P126&lt;&gt;"",P126,""))</f>
        <v/>
      </c>
      <c r="AJ126" s="32" t="n"/>
      <c r="AK126" s="32" t="n"/>
      <c r="AL126" s="32" t="n"/>
      <c r="AM126" s="34" t="n"/>
      <c r="AN126" s="35" t="n"/>
    </row>
    <row r="127" ht="20" customHeight="1">
      <c r="A127" s="24">
        <f>IF(C127&lt;&gt;"",ROW()-3,"")</f>
        <v/>
      </c>
      <c r="B127" s="25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7" t="n"/>
      <c r="N127" s="28" t="n"/>
      <c r="O127" s="28" t="n"/>
      <c r="P127" s="28">
        <f>IF(AND(Q127="SÍ",N127&lt;&gt;"",O127&lt;&gt;""),N127-O127,"")</f>
        <v/>
      </c>
      <c r="Q127" s="26" t="n"/>
      <c r="R127" s="26" t="n"/>
      <c r="S127" s="26" t="n"/>
      <c r="T127" s="26">
        <f>IF(S127&lt;&gt;"",CHOOSE(WEEKDAY(S127,2),"Lunes","Martes","Miércoles","Jueves","Viernes","Sábado","Domingo"),"")</f>
        <v/>
      </c>
      <c r="U127" s="28">
        <f>IF(AND(P127&lt;&gt;"",R127&gt;0),ROUND(P127/R127,2),"")</f>
        <v/>
      </c>
      <c r="V127" s="25">
        <f>IF(AND(Q127="SÍ",S127&lt;&gt;""),S127,"")</f>
        <v/>
      </c>
      <c r="W127" s="26" t="n"/>
      <c r="X127" s="25">
        <f>IF(V127&lt;&gt;"",V127+7,"")</f>
        <v/>
      </c>
      <c r="Y127" s="26" t="n"/>
      <c r="Z127" s="25">
        <f>IF(X127&lt;&gt;"",X127+7,"")</f>
        <v/>
      </c>
      <c r="AA127" s="26" t="n"/>
      <c r="AB127" s="25">
        <f>IF(Z127&lt;&gt;"",Z127+7,"")</f>
        <v/>
      </c>
      <c r="AC127" s="26" t="n"/>
      <c r="AD127" s="25">
        <f>IF(AB127&lt;&gt;"",AB127+7,"")</f>
        <v/>
      </c>
      <c r="AE127" s="26" t="n"/>
      <c r="AF127" s="25">
        <f>IF(AD127&lt;&gt;"",AD127+7,"")</f>
        <v/>
      </c>
      <c r="AG127" s="26" t="n"/>
      <c r="AH127" s="28">
        <f>IF(U127&lt;&gt;"",(COUNTIF(W127,"PAGADO")+COUNTIF(Y127,"PAGADO")+COUNTIF(AA127,"PAGADO")+COUNTIF(AC127,"PAGADO")+COUNTIF(AE127,"PAGADO")+COUNTIF(AG127,"PAGADO"))*U127,"")</f>
        <v/>
      </c>
      <c r="AI127" s="28">
        <f>IF(AND(P127&lt;&gt;"",AH127&lt;&gt;""),P127-AH127,IF(P127&lt;&gt;"",P127,""))</f>
        <v/>
      </c>
      <c r="AJ127" s="26" t="n"/>
      <c r="AK127" s="26" t="n"/>
      <c r="AL127" s="26" t="n"/>
      <c r="AM127" s="28" t="n"/>
      <c r="AN127" s="29" t="n"/>
    </row>
    <row r="128" ht="20" customHeight="1">
      <c r="A128" s="30">
        <f>IF(C128&lt;&gt;"",ROW()-3,"")</f>
        <v/>
      </c>
      <c r="B128" s="31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3" t="n"/>
      <c r="N128" s="34" t="n"/>
      <c r="O128" s="34" t="n"/>
      <c r="P128" s="34">
        <f>IF(AND(Q128="SÍ",N128&lt;&gt;"",O128&lt;&gt;""),N128-O128,"")</f>
        <v/>
      </c>
      <c r="Q128" s="32" t="n"/>
      <c r="R128" s="32" t="n"/>
      <c r="S128" s="32" t="n"/>
      <c r="T128" s="32">
        <f>IF(S128&lt;&gt;"",CHOOSE(WEEKDAY(S128,2),"Lunes","Martes","Miércoles","Jueves","Viernes","Sábado","Domingo"),"")</f>
        <v/>
      </c>
      <c r="U128" s="34">
        <f>IF(AND(P128&lt;&gt;"",R128&gt;0),ROUND(P128/R128,2),"")</f>
        <v/>
      </c>
      <c r="V128" s="31">
        <f>IF(AND(Q128="SÍ",S128&lt;&gt;""),S128,"")</f>
        <v/>
      </c>
      <c r="W128" s="32" t="n"/>
      <c r="X128" s="31">
        <f>IF(V128&lt;&gt;"",V128+7,"")</f>
        <v/>
      </c>
      <c r="Y128" s="32" t="n"/>
      <c r="Z128" s="31">
        <f>IF(X128&lt;&gt;"",X128+7,"")</f>
        <v/>
      </c>
      <c r="AA128" s="32" t="n"/>
      <c r="AB128" s="31">
        <f>IF(Z128&lt;&gt;"",Z128+7,"")</f>
        <v/>
      </c>
      <c r="AC128" s="32" t="n"/>
      <c r="AD128" s="31">
        <f>IF(AB128&lt;&gt;"",AB128+7,"")</f>
        <v/>
      </c>
      <c r="AE128" s="32" t="n"/>
      <c r="AF128" s="31">
        <f>IF(AD128&lt;&gt;"",AD128+7,"")</f>
        <v/>
      </c>
      <c r="AG128" s="32" t="n"/>
      <c r="AH128" s="34">
        <f>IF(U128&lt;&gt;"",(COUNTIF(W128,"PAGADO")+COUNTIF(Y128,"PAGADO")+COUNTIF(AA128,"PAGADO")+COUNTIF(AC128,"PAGADO")+COUNTIF(AE128,"PAGADO")+COUNTIF(AG128,"PAGADO"))*U128,"")</f>
        <v/>
      </c>
      <c r="AI128" s="34">
        <f>IF(AND(P128&lt;&gt;"",AH128&lt;&gt;""),P128-AH128,IF(P128&lt;&gt;"",P128,""))</f>
        <v/>
      </c>
      <c r="AJ128" s="32" t="n"/>
      <c r="AK128" s="32" t="n"/>
      <c r="AL128" s="32" t="n"/>
      <c r="AM128" s="34" t="n"/>
      <c r="AN128" s="35" t="n"/>
    </row>
    <row r="129" ht="20" customHeight="1">
      <c r="A129" s="24">
        <f>IF(C129&lt;&gt;"",ROW()-3,"")</f>
        <v/>
      </c>
      <c r="B129" s="25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7" t="n"/>
      <c r="N129" s="28" t="n"/>
      <c r="O129" s="28" t="n"/>
      <c r="P129" s="28">
        <f>IF(AND(Q129="SÍ",N129&lt;&gt;"",O129&lt;&gt;""),N129-O129,"")</f>
        <v/>
      </c>
      <c r="Q129" s="26" t="n"/>
      <c r="R129" s="26" t="n"/>
      <c r="S129" s="26" t="n"/>
      <c r="T129" s="26">
        <f>IF(S129&lt;&gt;"",CHOOSE(WEEKDAY(S129,2),"Lunes","Martes","Miércoles","Jueves","Viernes","Sábado","Domingo"),"")</f>
        <v/>
      </c>
      <c r="U129" s="28">
        <f>IF(AND(P129&lt;&gt;"",R129&gt;0),ROUND(P129/R129,2),"")</f>
        <v/>
      </c>
      <c r="V129" s="25">
        <f>IF(AND(Q129="SÍ",S129&lt;&gt;""),S129,"")</f>
        <v/>
      </c>
      <c r="W129" s="26" t="n"/>
      <c r="X129" s="25">
        <f>IF(V129&lt;&gt;"",V129+7,"")</f>
        <v/>
      </c>
      <c r="Y129" s="26" t="n"/>
      <c r="Z129" s="25">
        <f>IF(X129&lt;&gt;"",X129+7,"")</f>
        <v/>
      </c>
      <c r="AA129" s="26" t="n"/>
      <c r="AB129" s="25">
        <f>IF(Z129&lt;&gt;"",Z129+7,"")</f>
        <v/>
      </c>
      <c r="AC129" s="26" t="n"/>
      <c r="AD129" s="25">
        <f>IF(AB129&lt;&gt;"",AB129+7,"")</f>
        <v/>
      </c>
      <c r="AE129" s="26" t="n"/>
      <c r="AF129" s="25">
        <f>IF(AD129&lt;&gt;"",AD129+7,"")</f>
        <v/>
      </c>
      <c r="AG129" s="26" t="n"/>
      <c r="AH129" s="28">
        <f>IF(U129&lt;&gt;"",(COUNTIF(W129,"PAGADO")+COUNTIF(Y129,"PAGADO")+COUNTIF(AA129,"PAGADO")+COUNTIF(AC129,"PAGADO")+COUNTIF(AE129,"PAGADO")+COUNTIF(AG129,"PAGADO"))*U129,"")</f>
        <v/>
      </c>
      <c r="AI129" s="28">
        <f>IF(AND(P129&lt;&gt;"",AH129&lt;&gt;""),P129-AH129,IF(P129&lt;&gt;"",P129,""))</f>
        <v/>
      </c>
      <c r="AJ129" s="26" t="n"/>
      <c r="AK129" s="26" t="n"/>
      <c r="AL129" s="26" t="n"/>
      <c r="AM129" s="28" t="n"/>
      <c r="AN129" s="29" t="n"/>
    </row>
    <row r="130" ht="20" customHeight="1">
      <c r="A130" s="30">
        <f>IF(C130&lt;&gt;"",ROW()-3,"")</f>
        <v/>
      </c>
      <c r="B130" s="31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3" t="n"/>
      <c r="N130" s="34" t="n"/>
      <c r="O130" s="34" t="n"/>
      <c r="P130" s="34">
        <f>IF(AND(Q130="SÍ",N130&lt;&gt;"",O130&lt;&gt;""),N130-O130,"")</f>
        <v/>
      </c>
      <c r="Q130" s="32" t="n"/>
      <c r="R130" s="32" t="n"/>
      <c r="S130" s="32" t="n"/>
      <c r="T130" s="32">
        <f>IF(S130&lt;&gt;"",CHOOSE(WEEKDAY(S130,2),"Lunes","Martes","Miércoles","Jueves","Viernes","Sábado","Domingo"),"")</f>
        <v/>
      </c>
      <c r="U130" s="34">
        <f>IF(AND(P130&lt;&gt;"",R130&gt;0),ROUND(P130/R130,2),"")</f>
        <v/>
      </c>
      <c r="V130" s="31">
        <f>IF(AND(Q130="SÍ",S130&lt;&gt;""),S130,"")</f>
        <v/>
      </c>
      <c r="W130" s="32" t="n"/>
      <c r="X130" s="31">
        <f>IF(V130&lt;&gt;"",V130+7,"")</f>
        <v/>
      </c>
      <c r="Y130" s="32" t="n"/>
      <c r="Z130" s="31">
        <f>IF(X130&lt;&gt;"",X130+7,"")</f>
        <v/>
      </c>
      <c r="AA130" s="32" t="n"/>
      <c r="AB130" s="31">
        <f>IF(Z130&lt;&gt;"",Z130+7,"")</f>
        <v/>
      </c>
      <c r="AC130" s="32" t="n"/>
      <c r="AD130" s="31">
        <f>IF(AB130&lt;&gt;"",AB130+7,"")</f>
        <v/>
      </c>
      <c r="AE130" s="32" t="n"/>
      <c r="AF130" s="31">
        <f>IF(AD130&lt;&gt;"",AD130+7,"")</f>
        <v/>
      </c>
      <c r="AG130" s="32" t="n"/>
      <c r="AH130" s="34">
        <f>IF(U130&lt;&gt;"",(COUNTIF(W130,"PAGADO")+COUNTIF(Y130,"PAGADO")+COUNTIF(AA130,"PAGADO")+COUNTIF(AC130,"PAGADO")+COUNTIF(AE130,"PAGADO")+COUNTIF(AG130,"PAGADO"))*U130,"")</f>
        <v/>
      </c>
      <c r="AI130" s="34">
        <f>IF(AND(P130&lt;&gt;"",AH130&lt;&gt;""),P130-AH130,IF(P130&lt;&gt;"",P130,""))</f>
        <v/>
      </c>
      <c r="AJ130" s="32" t="n"/>
      <c r="AK130" s="32" t="n"/>
      <c r="AL130" s="32" t="n"/>
      <c r="AM130" s="34" t="n"/>
      <c r="AN130" s="35" t="n"/>
    </row>
    <row r="131" ht="20" customHeight="1">
      <c r="A131" s="24">
        <f>IF(C131&lt;&gt;"",ROW()-3,"")</f>
        <v/>
      </c>
      <c r="B131" s="25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7" t="n"/>
      <c r="N131" s="28" t="n"/>
      <c r="O131" s="28" t="n"/>
      <c r="P131" s="28">
        <f>IF(AND(Q131="SÍ",N131&lt;&gt;"",O131&lt;&gt;""),N131-O131,"")</f>
        <v/>
      </c>
      <c r="Q131" s="26" t="n"/>
      <c r="R131" s="26" t="n"/>
      <c r="S131" s="26" t="n"/>
      <c r="T131" s="26">
        <f>IF(S131&lt;&gt;"",CHOOSE(WEEKDAY(S131,2),"Lunes","Martes","Miércoles","Jueves","Viernes","Sábado","Domingo"),"")</f>
        <v/>
      </c>
      <c r="U131" s="28">
        <f>IF(AND(P131&lt;&gt;"",R131&gt;0),ROUND(P131/R131,2),"")</f>
        <v/>
      </c>
      <c r="V131" s="25">
        <f>IF(AND(Q131="SÍ",S131&lt;&gt;""),S131,"")</f>
        <v/>
      </c>
      <c r="W131" s="26" t="n"/>
      <c r="X131" s="25">
        <f>IF(V131&lt;&gt;"",V131+7,"")</f>
        <v/>
      </c>
      <c r="Y131" s="26" t="n"/>
      <c r="Z131" s="25">
        <f>IF(X131&lt;&gt;"",X131+7,"")</f>
        <v/>
      </c>
      <c r="AA131" s="26" t="n"/>
      <c r="AB131" s="25">
        <f>IF(Z131&lt;&gt;"",Z131+7,"")</f>
        <v/>
      </c>
      <c r="AC131" s="26" t="n"/>
      <c r="AD131" s="25">
        <f>IF(AB131&lt;&gt;"",AB131+7,"")</f>
        <v/>
      </c>
      <c r="AE131" s="26" t="n"/>
      <c r="AF131" s="25">
        <f>IF(AD131&lt;&gt;"",AD131+7,"")</f>
        <v/>
      </c>
      <c r="AG131" s="26" t="n"/>
      <c r="AH131" s="28">
        <f>IF(U131&lt;&gt;"",(COUNTIF(W131,"PAGADO")+COUNTIF(Y131,"PAGADO")+COUNTIF(AA131,"PAGADO")+COUNTIF(AC131,"PAGADO")+COUNTIF(AE131,"PAGADO")+COUNTIF(AG131,"PAGADO"))*U131,"")</f>
        <v/>
      </c>
      <c r="AI131" s="28">
        <f>IF(AND(P131&lt;&gt;"",AH131&lt;&gt;""),P131-AH131,IF(P131&lt;&gt;"",P131,""))</f>
        <v/>
      </c>
      <c r="AJ131" s="26" t="n"/>
      <c r="AK131" s="26" t="n"/>
      <c r="AL131" s="26" t="n"/>
      <c r="AM131" s="28" t="n"/>
      <c r="AN131" s="29" t="n"/>
    </row>
    <row r="132" ht="20" customHeight="1">
      <c r="A132" s="30">
        <f>IF(C132&lt;&gt;"",ROW()-3,"")</f>
        <v/>
      </c>
      <c r="B132" s="31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3" t="n"/>
      <c r="N132" s="34" t="n"/>
      <c r="O132" s="34" t="n"/>
      <c r="P132" s="34">
        <f>IF(AND(Q132="SÍ",N132&lt;&gt;"",O132&lt;&gt;""),N132-O132,"")</f>
        <v/>
      </c>
      <c r="Q132" s="32" t="n"/>
      <c r="R132" s="32" t="n"/>
      <c r="S132" s="32" t="n"/>
      <c r="T132" s="32">
        <f>IF(S132&lt;&gt;"",CHOOSE(WEEKDAY(S132,2),"Lunes","Martes","Miércoles","Jueves","Viernes","Sábado","Domingo"),"")</f>
        <v/>
      </c>
      <c r="U132" s="34">
        <f>IF(AND(P132&lt;&gt;"",R132&gt;0),ROUND(P132/R132,2),"")</f>
        <v/>
      </c>
      <c r="V132" s="31">
        <f>IF(AND(Q132="SÍ",S132&lt;&gt;""),S132,"")</f>
        <v/>
      </c>
      <c r="W132" s="32" t="n"/>
      <c r="X132" s="31">
        <f>IF(V132&lt;&gt;"",V132+7,"")</f>
        <v/>
      </c>
      <c r="Y132" s="32" t="n"/>
      <c r="Z132" s="31">
        <f>IF(X132&lt;&gt;"",X132+7,"")</f>
        <v/>
      </c>
      <c r="AA132" s="32" t="n"/>
      <c r="AB132" s="31">
        <f>IF(Z132&lt;&gt;"",Z132+7,"")</f>
        <v/>
      </c>
      <c r="AC132" s="32" t="n"/>
      <c r="AD132" s="31">
        <f>IF(AB132&lt;&gt;"",AB132+7,"")</f>
        <v/>
      </c>
      <c r="AE132" s="32" t="n"/>
      <c r="AF132" s="31">
        <f>IF(AD132&lt;&gt;"",AD132+7,"")</f>
        <v/>
      </c>
      <c r="AG132" s="32" t="n"/>
      <c r="AH132" s="34">
        <f>IF(U132&lt;&gt;"",(COUNTIF(W132,"PAGADO")+COUNTIF(Y132,"PAGADO")+COUNTIF(AA132,"PAGADO")+COUNTIF(AC132,"PAGADO")+COUNTIF(AE132,"PAGADO")+COUNTIF(AG132,"PAGADO"))*U132,"")</f>
        <v/>
      </c>
      <c r="AI132" s="34">
        <f>IF(AND(P132&lt;&gt;"",AH132&lt;&gt;""),P132-AH132,IF(P132&lt;&gt;"",P132,""))</f>
        <v/>
      </c>
      <c r="AJ132" s="32" t="n"/>
      <c r="AK132" s="32" t="n"/>
      <c r="AL132" s="32" t="n"/>
      <c r="AM132" s="34" t="n"/>
      <c r="AN132" s="35" t="n"/>
    </row>
    <row r="133" ht="20" customHeight="1">
      <c r="A133" s="24">
        <f>IF(C133&lt;&gt;"",ROW()-3,"")</f>
        <v/>
      </c>
      <c r="B133" s="25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7" t="n"/>
      <c r="N133" s="28" t="n"/>
      <c r="O133" s="28" t="n"/>
      <c r="P133" s="28">
        <f>IF(AND(Q133="SÍ",N133&lt;&gt;"",O133&lt;&gt;""),N133-O133,"")</f>
        <v/>
      </c>
      <c r="Q133" s="26" t="n"/>
      <c r="R133" s="26" t="n"/>
      <c r="S133" s="26" t="n"/>
      <c r="T133" s="26">
        <f>IF(S133&lt;&gt;"",CHOOSE(WEEKDAY(S133,2),"Lunes","Martes","Miércoles","Jueves","Viernes","Sábado","Domingo"),"")</f>
        <v/>
      </c>
      <c r="U133" s="28">
        <f>IF(AND(P133&lt;&gt;"",R133&gt;0),ROUND(P133/R133,2),"")</f>
        <v/>
      </c>
      <c r="V133" s="25">
        <f>IF(AND(Q133="SÍ",S133&lt;&gt;""),S133,"")</f>
        <v/>
      </c>
      <c r="W133" s="26" t="n"/>
      <c r="X133" s="25">
        <f>IF(V133&lt;&gt;"",V133+7,"")</f>
        <v/>
      </c>
      <c r="Y133" s="26" t="n"/>
      <c r="Z133" s="25">
        <f>IF(X133&lt;&gt;"",X133+7,"")</f>
        <v/>
      </c>
      <c r="AA133" s="26" t="n"/>
      <c r="AB133" s="25">
        <f>IF(Z133&lt;&gt;"",Z133+7,"")</f>
        <v/>
      </c>
      <c r="AC133" s="26" t="n"/>
      <c r="AD133" s="25">
        <f>IF(AB133&lt;&gt;"",AB133+7,"")</f>
        <v/>
      </c>
      <c r="AE133" s="26" t="n"/>
      <c r="AF133" s="25">
        <f>IF(AD133&lt;&gt;"",AD133+7,"")</f>
        <v/>
      </c>
      <c r="AG133" s="26" t="n"/>
      <c r="AH133" s="28">
        <f>IF(U133&lt;&gt;"",(COUNTIF(W133,"PAGADO")+COUNTIF(Y133,"PAGADO")+COUNTIF(AA133,"PAGADO")+COUNTIF(AC133,"PAGADO")+COUNTIF(AE133,"PAGADO")+COUNTIF(AG133,"PAGADO"))*U133,"")</f>
        <v/>
      </c>
      <c r="AI133" s="28">
        <f>IF(AND(P133&lt;&gt;"",AH133&lt;&gt;""),P133-AH133,IF(P133&lt;&gt;"",P133,""))</f>
        <v/>
      </c>
      <c r="AJ133" s="26" t="n"/>
      <c r="AK133" s="26" t="n"/>
      <c r="AL133" s="26" t="n"/>
      <c r="AM133" s="28" t="n"/>
      <c r="AN133" s="29" t="n"/>
    </row>
    <row r="134" ht="20" customHeight="1">
      <c r="A134" s="30">
        <f>IF(C134&lt;&gt;"",ROW()-3,"")</f>
        <v/>
      </c>
      <c r="B134" s="31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3" t="n"/>
      <c r="N134" s="34" t="n"/>
      <c r="O134" s="34" t="n"/>
      <c r="P134" s="34">
        <f>IF(AND(Q134="SÍ",N134&lt;&gt;"",O134&lt;&gt;""),N134-O134,"")</f>
        <v/>
      </c>
      <c r="Q134" s="32" t="n"/>
      <c r="R134" s="32" t="n"/>
      <c r="S134" s="32" t="n"/>
      <c r="T134" s="32">
        <f>IF(S134&lt;&gt;"",CHOOSE(WEEKDAY(S134,2),"Lunes","Martes","Miércoles","Jueves","Viernes","Sábado","Domingo"),"")</f>
        <v/>
      </c>
      <c r="U134" s="34">
        <f>IF(AND(P134&lt;&gt;"",R134&gt;0),ROUND(P134/R134,2),"")</f>
        <v/>
      </c>
      <c r="V134" s="31">
        <f>IF(AND(Q134="SÍ",S134&lt;&gt;""),S134,"")</f>
        <v/>
      </c>
      <c r="W134" s="32" t="n"/>
      <c r="X134" s="31">
        <f>IF(V134&lt;&gt;"",V134+7,"")</f>
        <v/>
      </c>
      <c r="Y134" s="32" t="n"/>
      <c r="Z134" s="31">
        <f>IF(X134&lt;&gt;"",X134+7,"")</f>
        <v/>
      </c>
      <c r="AA134" s="32" t="n"/>
      <c r="AB134" s="31">
        <f>IF(Z134&lt;&gt;"",Z134+7,"")</f>
        <v/>
      </c>
      <c r="AC134" s="32" t="n"/>
      <c r="AD134" s="31">
        <f>IF(AB134&lt;&gt;"",AB134+7,"")</f>
        <v/>
      </c>
      <c r="AE134" s="32" t="n"/>
      <c r="AF134" s="31">
        <f>IF(AD134&lt;&gt;"",AD134+7,"")</f>
        <v/>
      </c>
      <c r="AG134" s="32" t="n"/>
      <c r="AH134" s="34">
        <f>IF(U134&lt;&gt;"",(COUNTIF(W134,"PAGADO")+COUNTIF(Y134,"PAGADO")+COUNTIF(AA134,"PAGADO")+COUNTIF(AC134,"PAGADO")+COUNTIF(AE134,"PAGADO")+COUNTIF(AG134,"PAGADO"))*U134,"")</f>
        <v/>
      </c>
      <c r="AI134" s="34">
        <f>IF(AND(P134&lt;&gt;"",AH134&lt;&gt;""),P134-AH134,IF(P134&lt;&gt;"",P134,""))</f>
        <v/>
      </c>
      <c r="AJ134" s="32" t="n"/>
      <c r="AK134" s="32" t="n"/>
      <c r="AL134" s="32" t="n"/>
      <c r="AM134" s="34" t="n"/>
      <c r="AN134" s="35" t="n"/>
    </row>
    <row r="135" ht="20" customHeight="1">
      <c r="A135" s="24">
        <f>IF(C135&lt;&gt;"",ROW()-3,"")</f>
        <v/>
      </c>
      <c r="B135" s="25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7" t="n"/>
      <c r="N135" s="28" t="n"/>
      <c r="O135" s="28" t="n"/>
      <c r="P135" s="28">
        <f>IF(AND(Q135="SÍ",N135&lt;&gt;"",O135&lt;&gt;""),N135-O135,"")</f>
        <v/>
      </c>
      <c r="Q135" s="26" t="n"/>
      <c r="R135" s="26" t="n"/>
      <c r="S135" s="26" t="n"/>
      <c r="T135" s="26">
        <f>IF(S135&lt;&gt;"",CHOOSE(WEEKDAY(S135,2),"Lunes","Martes","Miércoles","Jueves","Viernes","Sábado","Domingo"),"")</f>
        <v/>
      </c>
      <c r="U135" s="28">
        <f>IF(AND(P135&lt;&gt;"",R135&gt;0),ROUND(P135/R135,2),"")</f>
        <v/>
      </c>
      <c r="V135" s="25">
        <f>IF(AND(Q135="SÍ",S135&lt;&gt;""),S135,"")</f>
        <v/>
      </c>
      <c r="W135" s="26" t="n"/>
      <c r="X135" s="25">
        <f>IF(V135&lt;&gt;"",V135+7,"")</f>
        <v/>
      </c>
      <c r="Y135" s="26" t="n"/>
      <c r="Z135" s="25">
        <f>IF(X135&lt;&gt;"",X135+7,"")</f>
        <v/>
      </c>
      <c r="AA135" s="26" t="n"/>
      <c r="AB135" s="25">
        <f>IF(Z135&lt;&gt;"",Z135+7,"")</f>
        <v/>
      </c>
      <c r="AC135" s="26" t="n"/>
      <c r="AD135" s="25">
        <f>IF(AB135&lt;&gt;"",AB135+7,"")</f>
        <v/>
      </c>
      <c r="AE135" s="26" t="n"/>
      <c r="AF135" s="25">
        <f>IF(AD135&lt;&gt;"",AD135+7,"")</f>
        <v/>
      </c>
      <c r="AG135" s="26" t="n"/>
      <c r="AH135" s="28">
        <f>IF(U135&lt;&gt;"",(COUNTIF(W135,"PAGADO")+COUNTIF(Y135,"PAGADO")+COUNTIF(AA135,"PAGADO")+COUNTIF(AC135,"PAGADO")+COUNTIF(AE135,"PAGADO")+COUNTIF(AG135,"PAGADO"))*U135,"")</f>
        <v/>
      </c>
      <c r="AI135" s="28">
        <f>IF(AND(P135&lt;&gt;"",AH135&lt;&gt;""),P135-AH135,IF(P135&lt;&gt;"",P135,""))</f>
        <v/>
      </c>
      <c r="AJ135" s="26" t="n"/>
      <c r="AK135" s="26" t="n"/>
      <c r="AL135" s="26" t="n"/>
      <c r="AM135" s="28" t="n"/>
      <c r="AN135" s="29" t="n"/>
    </row>
    <row r="136" ht="20" customHeight="1">
      <c r="A136" s="30">
        <f>IF(C136&lt;&gt;"",ROW()-3,"")</f>
        <v/>
      </c>
      <c r="B136" s="31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3" t="n"/>
      <c r="N136" s="34" t="n"/>
      <c r="O136" s="34" t="n"/>
      <c r="P136" s="34">
        <f>IF(AND(Q136="SÍ",N136&lt;&gt;"",O136&lt;&gt;""),N136-O136,"")</f>
        <v/>
      </c>
      <c r="Q136" s="32" t="n"/>
      <c r="R136" s="32" t="n"/>
      <c r="S136" s="32" t="n"/>
      <c r="T136" s="32">
        <f>IF(S136&lt;&gt;"",CHOOSE(WEEKDAY(S136,2),"Lunes","Martes","Miércoles","Jueves","Viernes","Sábado","Domingo"),"")</f>
        <v/>
      </c>
      <c r="U136" s="34">
        <f>IF(AND(P136&lt;&gt;"",R136&gt;0),ROUND(P136/R136,2),"")</f>
        <v/>
      </c>
      <c r="V136" s="31">
        <f>IF(AND(Q136="SÍ",S136&lt;&gt;""),S136,"")</f>
        <v/>
      </c>
      <c r="W136" s="32" t="n"/>
      <c r="X136" s="31">
        <f>IF(V136&lt;&gt;"",V136+7,"")</f>
        <v/>
      </c>
      <c r="Y136" s="32" t="n"/>
      <c r="Z136" s="31">
        <f>IF(X136&lt;&gt;"",X136+7,"")</f>
        <v/>
      </c>
      <c r="AA136" s="32" t="n"/>
      <c r="AB136" s="31">
        <f>IF(Z136&lt;&gt;"",Z136+7,"")</f>
        <v/>
      </c>
      <c r="AC136" s="32" t="n"/>
      <c r="AD136" s="31">
        <f>IF(AB136&lt;&gt;"",AB136+7,"")</f>
        <v/>
      </c>
      <c r="AE136" s="32" t="n"/>
      <c r="AF136" s="31">
        <f>IF(AD136&lt;&gt;"",AD136+7,"")</f>
        <v/>
      </c>
      <c r="AG136" s="32" t="n"/>
      <c r="AH136" s="34">
        <f>IF(U136&lt;&gt;"",(COUNTIF(W136,"PAGADO")+COUNTIF(Y136,"PAGADO")+COUNTIF(AA136,"PAGADO")+COUNTIF(AC136,"PAGADO")+COUNTIF(AE136,"PAGADO")+COUNTIF(AG136,"PAGADO"))*U136,"")</f>
        <v/>
      </c>
      <c r="AI136" s="34">
        <f>IF(AND(P136&lt;&gt;"",AH136&lt;&gt;""),P136-AH136,IF(P136&lt;&gt;"",P136,""))</f>
        <v/>
      </c>
      <c r="AJ136" s="32" t="n"/>
      <c r="AK136" s="32" t="n"/>
      <c r="AL136" s="32" t="n"/>
      <c r="AM136" s="34" t="n"/>
      <c r="AN136" s="35" t="n"/>
    </row>
    <row r="137" ht="20" customHeight="1">
      <c r="A137" s="24">
        <f>IF(C137&lt;&gt;"",ROW()-3,"")</f>
        <v/>
      </c>
      <c r="B137" s="25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7" t="n"/>
      <c r="N137" s="28" t="n"/>
      <c r="O137" s="28" t="n"/>
      <c r="P137" s="28">
        <f>IF(AND(Q137="SÍ",N137&lt;&gt;"",O137&lt;&gt;""),N137-O137,"")</f>
        <v/>
      </c>
      <c r="Q137" s="26" t="n"/>
      <c r="R137" s="26" t="n"/>
      <c r="S137" s="26" t="n"/>
      <c r="T137" s="26">
        <f>IF(S137&lt;&gt;"",CHOOSE(WEEKDAY(S137,2),"Lunes","Martes","Miércoles","Jueves","Viernes","Sábado","Domingo"),"")</f>
        <v/>
      </c>
      <c r="U137" s="28">
        <f>IF(AND(P137&lt;&gt;"",R137&gt;0),ROUND(P137/R137,2),"")</f>
        <v/>
      </c>
      <c r="V137" s="25">
        <f>IF(AND(Q137="SÍ",S137&lt;&gt;""),S137,"")</f>
        <v/>
      </c>
      <c r="W137" s="26" t="n"/>
      <c r="X137" s="25">
        <f>IF(V137&lt;&gt;"",V137+7,"")</f>
        <v/>
      </c>
      <c r="Y137" s="26" t="n"/>
      <c r="Z137" s="25">
        <f>IF(X137&lt;&gt;"",X137+7,"")</f>
        <v/>
      </c>
      <c r="AA137" s="26" t="n"/>
      <c r="AB137" s="25">
        <f>IF(Z137&lt;&gt;"",Z137+7,"")</f>
        <v/>
      </c>
      <c r="AC137" s="26" t="n"/>
      <c r="AD137" s="25">
        <f>IF(AB137&lt;&gt;"",AB137+7,"")</f>
        <v/>
      </c>
      <c r="AE137" s="26" t="n"/>
      <c r="AF137" s="25">
        <f>IF(AD137&lt;&gt;"",AD137+7,"")</f>
        <v/>
      </c>
      <c r="AG137" s="26" t="n"/>
      <c r="AH137" s="28">
        <f>IF(U137&lt;&gt;"",(COUNTIF(W137,"PAGADO")+COUNTIF(Y137,"PAGADO")+COUNTIF(AA137,"PAGADO")+COUNTIF(AC137,"PAGADO")+COUNTIF(AE137,"PAGADO")+COUNTIF(AG137,"PAGADO"))*U137,"")</f>
        <v/>
      </c>
      <c r="AI137" s="28">
        <f>IF(AND(P137&lt;&gt;"",AH137&lt;&gt;""),P137-AH137,IF(P137&lt;&gt;"",P137,""))</f>
        <v/>
      </c>
      <c r="AJ137" s="26" t="n"/>
      <c r="AK137" s="26" t="n"/>
      <c r="AL137" s="26" t="n"/>
      <c r="AM137" s="28" t="n"/>
      <c r="AN137" s="29" t="n"/>
    </row>
    <row r="138" ht="20" customHeight="1">
      <c r="A138" s="30">
        <f>IF(C138&lt;&gt;"",ROW()-3,"")</f>
        <v/>
      </c>
      <c r="B138" s="31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3" t="n"/>
      <c r="N138" s="34" t="n"/>
      <c r="O138" s="34" t="n"/>
      <c r="P138" s="34">
        <f>IF(AND(Q138="SÍ",N138&lt;&gt;"",O138&lt;&gt;""),N138-O138,"")</f>
        <v/>
      </c>
      <c r="Q138" s="32" t="n"/>
      <c r="R138" s="32" t="n"/>
      <c r="S138" s="32" t="n"/>
      <c r="T138" s="32">
        <f>IF(S138&lt;&gt;"",CHOOSE(WEEKDAY(S138,2),"Lunes","Martes","Miércoles","Jueves","Viernes","Sábado","Domingo"),"")</f>
        <v/>
      </c>
      <c r="U138" s="34">
        <f>IF(AND(P138&lt;&gt;"",R138&gt;0),ROUND(P138/R138,2),"")</f>
        <v/>
      </c>
      <c r="V138" s="31">
        <f>IF(AND(Q138="SÍ",S138&lt;&gt;""),S138,"")</f>
        <v/>
      </c>
      <c r="W138" s="32" t="n"/>
      <c r="X138" s="31">
        <f>IF(V138&lt;&gt;"",V138+7,"")</f>
        <v/>
      </c>
      <c r="Y138" s="32" t="n"/>
      <c r="Z138" s="31">
        <f>IF(X138&lt;&gt;"",X138+7,"")</f>
        <v/>
      </c>
      <c r="AA138" s="32" t="n"/>
      <c r="AB138" s="31">
        <f>IF(Z138&lt;&gt;"",Z138+7,"")</f>
        <v/>
      </c>
      <c r="AC138" s="32" t="n"/>
      <c r="AD138" s="31">
        <f>IF(AB138&lt;&gt;"",AB138+7,"")</f>
        <v/>
      </c>
      <c r="AE138" s="32" t="n"/>
      <c r="AF138" s="31">
        <f>IF(AD138&lt;&gt;"",AD138+7,"")</f>
        <v/>
      </c>
      <c r="AG138" s="32" t="n"/>
      <c r="AH138" s="34">
        <f>IF(U138&lt;&gt;"",(COUNTIF(W138,"PAGADO")+COUNTIF(Y138,"PAGADO")+COUNTIF(AA138,"PAGADO")+COUNTIF(AC138,"PAGADO")+COUNTIF(AE138,"PAGADO")+COUNTIF(AG138,"PAGADO"))*U138,"")</f>
        <v/>
      </c>
      <c r="AI138" s="34">
        <f>IF(AND(P138&lt;&gt;"",AH138&lt;&gt;""),P138-AH138,IF(P138&lt;&gt;"",P138,""))</f>
        <v/>
      </c>
      <c r="AJ138" s="32" t="n"/>
      <c r="AK138" s="32" t="n"/>
      <c r="AL138" s="32" t="n"/>
      <c r="AM138" s="34" t="n"/>
      <c r="AN138" s="35" t="n"/>
    </row>
    <row r="139" ht="20" customHeight="1">
      <c r="A139" s="24">
        <f>IF(C139&lt;&gt;"",ROW()-3,"")</f>
        <v/>
      </c>
      <c r="B139" s="25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7" t="n"/>
      <c r="N139" s="28" t="n"/>
      <c r="O139" s="28" t="n"/>
      <c r="P139" s="28">
        <f>IF(AND(Q139="SÍ",N139&lt;&gt;"",O139&lt;&gt;""),N139-O139,"")</f>
        <v/>
      </c>
      <c r="Q139" s="26" t="n"/>
      <c r="R139" s="26" t="n"/>
      <c r="S139" s="26" t="n"/>
      <c r="T139" s="26">
        <f>IF(S139&lt;&gt;"",CHOOSE(WEEKDAY(S139,2),"Lunes","Martes","Miércoles","Jueves","Viernes","Sábado","Domingo"),"")</f>
        <v/>
      </c>
      <c r="U139" s="28">
        <f>IF(AND(P139&lt;&gt;"",R139&gt;0),ROUND(P139/R139,2),"")</f>
        <v/>
      </c>
      <c r="V139" s="25">
        <f>IF(AND(Q139="SÍ",S139&lt;&gt;""),S139,"")</f>
        <v/>
      </c>
      <c r="W139" s="26" t="n"/>
      <c r="X139" s="25">
        <f>IF(V139&lt;&gt;"",V139+7,"")</f>
        <v/>
      </c>
      <c r="Y139" s="26" t="n"/>
      <c r="Z139" s="25">
        <f>IF(X139&lt;&gt;"",X139+7,"")</f>
        <v/>
      </c>
      <c r="AA139" s="26" t="n"/>
      <c r="AB139" s="25">
        <f>IF(Z139&lt;&gt;"",Z139+7,"")</f>
        <v/>
      </c>
      <c r="AC139" s="26" t="n"/>
      <c r="AD139" s="25">
        <f>IF(AB139&lt;&gt;"",AB139+7,"")</f>
        <v/>
      </c>
      <c r="AE139" s="26" t="n"/>
      <c r="AF139" s="25">
        <f>IF(AD139&lt;&gt;"",AD139+7,"")</f>
        <v/>
      </c>
      <c r="AG139" s="26" t="n"/>
      <c r="AH139" s="28">
        <f>IF(U139&lt;&gt;"",(COUNTIF(W139,"PAGADO")+COUNTIF(Y139,"PAGADO")+COUNTIF(AA139,"PAGADO")+COUNTIF(AC139,"PAGADO")+COUNTIF(AE139,"PAGADO")+COUNTIF(AG139,"PAGADO"))*U139,"")</f>
        <v/>
      </c>
      <c r="AI139" s="28">
        <f>IF(AND(P139&lt;&gt;"",AH139&lt;&gt;""),P139-AH139,IF(P139&lt;&gt;"",P139,""))</f>
        <v/>
      </c>
      <c r="AJ139" s="26" t="n"/>
      <c r="AK139" s="26" t="n"/>
      <c r="AL139" s="26" t="n"/>
      <c r="AM139" s="28" t="n"/>
      <c r="AN139" s="29" t="n"/>
    </row>
    <row r="140" ht="20" customHeight="1">
      <c r="A140" s="30">
        <f>IF(C140&lt;&gt;"",ROW()-3,"")</f>
        <v/>
      </c>
      <c r="B140" s="31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3" t="n"/>
      <c r="N140" s="34" t="n"/>
      <c r="O140" s="34" t="n"/>
      <c r="P140" s="34">
        <f>IF(AND(Q140="SÍ",N140&lt;&gt;"",O140&lt;&gt;""),N140-O140,"")</f>
        <v/>
      </c>
      <c r="Q140" s="32" t="n"/>
      <c r="R140" s="32" t="n"/>
      <c r="S140" s="32" t="n"/>
      <c r="T140" s="32">
        <f>IF(S140&lt;&gt;"",CHOOSE(WEEKDAY(S140,2),"Lunes","Martes","Miércoles","Jueves","Viernes","Sábado","Domingo"),"")</f>
        <v/>
      </c>
      <c r="U140" s="34">
        <f>IF(AND(P140&lt;&gt;"",R140&gt;0),ROUND(P140/R140,2),"")</f>
        <v/>
      </c>
      <c r="V140" s="31">
        <f>IF(AND(Q140="SÍ",S140&lt;&gt;""),S140,"")</f>
        <v/>
      </c>
      <c r="W140" s="32" t="n"/>
      <c r="X140" s="31">
        <f>IF(V140&lt;&gt;"",V140+7,"")</f>
        <v/>
      </c>
      <c r="Y140" s="32" t="n"/>
      <c r="Z140" s="31">
        <f>IF(X140&lt;&gt;"",X140+7,"")</f>
        <v/>
      </c>
      <c r="AA140" s="32" t="n"/>
      <c r="AB140" s="31">
        <f>IF(Z140&lt;&gt;"",Z140+7,"")</f>
        <v/>
      </c>
      <c r="AC140" s="32" t="n"/>
      <c r="AD140" s="31">
        <f>IF(AB140&lt;&gt;"",AB140+7,"")</f>
        <v/>
      </c>
      <c r="AE140" s="32" t="n"/>
      <c r="AF140" s="31">
        <f>IF(AD140&lt;&gt;"",AD140+7,"")</f>
        <v/>
      </c>
      <c r="AG140" s="32" t="n"/>
      <c r="AH140" s="34">
        <f>IF(U140&lt;&gt;"",(COUNTIF(W140,"PAGADO")+COUNTIF(Y140,"PAGADO")+COUNTIF(AA140,"PAGADO")+COUNTIF(AC140,"PAGADO")+COUNTIF(AE140,"PAGADO")+COUNTIF(AG140,"PAGADO"))*U140,"")</f>
        <v/>
      </c>
      <c r="AI140" s="34">
        <f>IF(AND(P140&lt;&gt;"",AH140&lt;&gt;""),P140-AH140,IF(P140&lt;&gt;"",P140,""))</f>
        <v/>
      </c>
      <c r="AJ140" s="32" t="n"/>
      <c r="AK140" s="32" t="n"/>
      <c r="AL140" s="32" t="n"/>
      <c r="AM140" s="34" t="n"/>
      <c r="AN140" s="35" t="n"/>
    </row>
    <row r="141" ht="20" customHeight="1">
      <c r="A141" s="24">
        <f>IF(C141&lt;&gt;"",ROW()-3,"")</f>
        <v/>
      </c>
      <c r="B141" s="25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7" t="n"/>
      <c r="N141" s="28" t="n"/>
      <c r="O141" s="28" t="n"/>
      <c r="P141" s="28">
        <f>IF(AND(Q141="SÍ",N141&lt;&gt;"",O141&lt;&gt;""),N141-O141,"")</f>
        <v/>
      </c>
      <c r="Q141" s="26" t="n"/>
      <c r="R141" s="26" t="n"/>
      <c r="S141" s="26" t="n"/>
      <c r="T141" s="26">
        <f>IF(S141&lt;&gt;"",CHOOSE(WEEKDAY(S141,2),"Lunes","Martes","Miércoles","Jueves","Viernes","Sábado","Domingo"),"")</f>
        <v/>
      </c>
      <c r="U141" s="28">
        <f>IF(AND(P141&lt;&gt;"",R141&gt;0),ROUND(P141/R141,2),"")</f>
        <v/>
      </c>
      <c r="V141" s="25">
        <f>IF(AND(Q141="SÍ",S141&lt;&gt;""),S141,"")</f>
        <v/>
      </c>
      <c r="W141" s="26" t="n"/>
      <c r="X141" s="25">
        <f>IF(V141&lt;&gt;"",V141+7,"")</f>
        <v/>
      </c>
      <c r="Y141" s="26" t="n"/>
      <c r="Z141" s="25">
        <f>IF(X141&lt;&gt;"",X141+7,"")</f>
        <v/>
      </c>
      <c r="AA141" s="26" t="n"/>
      <c r="AB141" s="25">
        <f>IF(Z141&lt;&gt;"",Z141+7,"")</f>
        <v/>
      </c>
      <c r="AC141" s="26" t="n"/>
      <c r="AD141" s="25">
        <f>IF(AB141&lt;&gt;"",AB141+7,"")</f>
        <v/>
      </c>
      <c r="AE141" s="26" t="n"/>
      <c r="AF141" s="25">
        <f>IF(AD141&lt;&gt;"",AD141+7,"")</f>
        <v/>
      </c>
      <c r="AG141" s="26" t="n"/>
      <c r="AH141" s="28">
        <f>IF(U141&lt;&gt;"",(COUNTIF(W141,"PAGADO")+COUNTIF(Y141,"PAGADO")+COUNTIF(AA141,"PAGADO")+COUNTIF(AC141,"PAGADO")+COUNTIF(AE141,"PAGADO")+COUNTIF(AG141,"PAGADO"))*U141,"")</f>
        <v/>
      </c>
      <c r="AI141" s="28">
        <f>IF(AND(P141&lt;&gt;"",AH141&lt;&gt;""),P141-AH141,IF(P141&lt;&gt;"",P141,""))</f>
        <v/>
      </c>
      <c r="AJ141" s="26" t="n"/>
      <c r="AK141" s="26" t="n"/>
      <c r="AL141" s="26" t="n"/>
      <c r="AM141" s="28" t="n"/>
      <c r="AN141" s="29" t="n"/>
    </row>
    <row r="142" ht="20" customHeight="1">
      <c r="A142" s="30">
        <f>IF(C142&lt;&gt;"",ROW()-3,"")</f>
        <v/>
      </c>
      <c r="B142" s="31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3" t="n"/>
      <c r="N142" s="34" t="n"/>
      <c r="O142" s="34" t="n"/>
      <c r="P142" s="34">
        <f>IF(AND(Q142="SÍ",N142&lt;&gt;"",O142&lt;&gt;""),N142-O142,"")</f>
        <v/>
      </c>
      <c r="Q142" s="32" t="n"/>
      <c r="R142" s="32" t="n"/>
      <c r="S142" s="32" t="n"/>
      <c r="T142" s="32">
        <f>IF(S142&lt;&gt;"",CHOOSE(WEEKDAY(S142,2),"Lunes","Martes","Miércoles","Jueves","Viernes","Sábado","Domingo"),"")</f>
        <v/>
      </c>
      <c r="U142" s="34">
        <f>IF(AND(P142&lt;&gt;"",R142&gt;0),ROUND(P142/R142,2),"")</f>
        <v/>
      </c>
      <c r="V142" s="31">
        <f>IF(AND(Q142="SÍ",S142&lt;&gt;""),S142,"")</f>
        <v/>
      </c>
      <c r="W142" s="32" t="n"/>
      <c r="X142" s="31">
        <f>IF(V142&lt;&gt;"",V142+7,"")</f>
        <v/>
      </c>
      <c r="Y142" s="32" t="n"/>
      <c r="Z142" s="31">
        <f>IF(X142&lt;&gt;"",X142+7,"")</f>
        <v/>
      </c>
      <c r="AA142" s="32" t="n"/>
      <c r="AB142" s="31">
        <f>IF(Z142&lt;&gt;"",Z142+7,"")</f>
        <v/>
      </c>
      <c r="AC142" s="32" t="n"/>
      <c r="AD142" s="31">
        <f>IF(AB142&lt;&gt;"",AB142+7,"")</f>
        <v/>
      </c>
      <c r="AE142" s="32" t="n"/>
      <c r="AF142" s="31">
        <f>IF(AD142&lt;&gt;"",AD142+7,"")</f>
        <v/>
      </c>
      <c r="AG142" s="32" t="n"/>
      <c r="AH142" s="34">
        <f>IF(U142&lt;&gt;"",(COUNTIF(W142,"PAGADO")+COUNTIF(Y142,"PAGADO")+COUNTIF(AA142,"PAGADO")+COUNTIF(AC142,"PAGADO")+COUNTIF(AE142,"PAGADO")+COUNTIF(AG142,"PAGADO"))*U142,"")</f>
        <v/>
      </c>
      <c r="AI142" s="34">
        <f>IF(AND(P142&lt;&gt;"",AH142&lt;&gt;""),P142-AH142,IF(P142&lt;&gt;"",P142,""))</f>
        <v/>
      </c>
      <c r="AJ142" s="32" t="n"/>
      <c r="AK142" s="32" t="n"/>
      <c r="AL142" s="32" t="n"/>
      <c r="AM142" s="34" t="n"/>
      <c r="AN142" s="35" t="n"/>
    </row>
    <row r="143" ht="20" customHeight="1">
      <c r="A143" s="24">
        <f>IF(C143&lt;&gt;"",ROW()-3,"")</f>
        <v/>
      </c>
      <c r="B143" s="25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7" t="n"/>
      <c r="N143" s="28" t="n"/>
      <c r="O143" s="28" t="n"/>
      <c r="P143" s="28">
        <f>IF(AND(Q143="SÍ",N143&lt;&gt;"",O143&lt;&gt;""),N143-O143,"")</f>
        <v/>
      </c>
      <c r="Q143" s="26" t="n"/>
      <c r="R143" s="26" t="n"/>
      <c r="S143" s="26" t="n"/>
      <c r="T143" s="26">
        <f>IF(S143&lt;&gt;"",CHOOSE(WEEKDAY(S143,2),"Lunes","Martes","Miércoles","Jueves","Viernes","Sábado","Domingo"),"")</f>
        <v/>
      </c>
      <c r="U143" s="28">
        <f>IF(AND(P143&lt;&gt;"",R143&gt;0),ROUND(P143/R143,2),"")</f>
        <v/>
      </c>
      <c r="V143" s="25">
        <f>IF(AND(Q143="SÍ",S143&lt;&gt;""),S143,"")</f>
        <v/>
      </c>
      <c r="W143" s="26" t="n"/>
      <c r="X143" s="25">
        <f>IF(V143&lt;&gt;"",V143+7,"")</f>
        <v/>
      </c>
      <c r="Y143" s="26" t="n"/>
      <c r="Z143" s="25">
        <f>IF(X143&lt;&gt;"",X143+7,"")</f>
        <v/>
      </c>
      <c r="AA143" s="26" t="n"/>
      <c r="AB143" s="25">
        <f>IF(Z143&lt;&gt;"",Z143+7,"")</f>
        <v/>
      </c>
      <c r="AC143" s="26" t="n"/>
      <c r="AD143" s="25">
        <f>IF(AB143&lt;&gt;"",AB143+7,"")</f>
        <v/>
      </c>
      <c r="AE143" s="26" t="n"/>
      <c r="AF143" s="25">
        <f>IF(AD143&lt;&gt;"",AD143+7,"")</f>
        <v/>
      </c>
      <c r="AG143" s="26" t="n"/>
      <c r="AH143" s="28">
        <f>IF(U143&lt;&gt;"",(COUNTIF(W143,"PAGADO")+COUNTIF(Y143,"PAGADO")+COUNTIF(AA143,"PAGADO")+COUNTIF(AC143,"PAGADO")+COUNTIF(AE143,"PAGADO")+COUNTIF(AG143,"PAGADO"))*U143,"")</f>
        <v/>
      </c>
      <c r="AI143" s="28">
        <f>IF(AND(P143&lt;&gt;"",AH143&lt;&gt;""),P143-AH143,IF(P143&lt;&gt;"",P143,""))</f>
        <v/>
      </c>
      <c r="AJ143" s="26" t="n"/>
      <c r="AK143" s="26" t="n"/>
      <c r="AL143" s="26" t="n"/>
      <c r="AM143" s="28" t="n"/>
      <c r="AN143" s="29" t="n"/>
    </row>
    <row r="144" ht="20" customHeight="1">
      <c r="A144" s="30">
        <f>IF(C144&lt;&gt;"",ROW()-3,"")</f>
        <v/>
      </c>
      <c r="B144" s="31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3" t="n"/>
      <c r="N144" s="34" t="n"/>
      <c r="O144" s="34" t="n"/>
      <c r="P144" s="34">
        <f>IF(AND(Q144="SÍ",N144&lt;&gt;"",O144&lt;&gt;""),N144-O144,"")</f>
        <v/>
      </c>
      <c r="Q144" s="32" t="n"/>
      <c r="R144" s="32" t="n"/>
      <c r="S144" s="32" t="n"/>
      <c r="T144" s="32">
        <f>IF(S144&lt;&gt;"",CHOOSE(WEEKDAY(S144,2),"Lunes","Martes","Miércoles","Jueves","Viernes","Sábado","Domingo"),"")</f>
        <v/>
      </c>
      <c r="U144" s="34">
        <f>IF(AND(P144&lt;&gt;"",R144&gt;0),ROUND(P144/R144,2),"")</f>
        <v/>
      </c>
      <c r="V144" s="31">
        <f>IF(AND(Q144="SÍ",S144&lt;&gt;""),S144,"")</f>
        <v/>
      </c>
      <c r="W144" s="32" t="n"/>
      <c r="X144" s="31">
        <f>IF(V144&lt;&gt;"",V144+7,"")</f>
        <v/>
      </c>
      <c r="Y144" s="32" t="n"/>
      <c r="Z144" s="31">
        <f>IF(X144&lt;&gt;"",X144+7,"")</f>
        <v/>
      </c>
      <c r="AA144" s="32" t="n"/>
      <c r="AB144" s="31">
        <f>IF(Z144&lt;&gt;"",Z144+7,"")</f>
        <v/>
      </c>
      <c r="AC144" s="32" t="n"/>
      <c r="AD144" s="31">
        <f>IF(AB144&lt;&gt;"",AB144+7,"")</f>
        <v/>
      </c>
      <c r="AE144" s="32" t="n"/>
      <c r="AF144" s="31">
        <f>IF(AD144&lt;&gt;"",AD144+7,"")</f>
        <v/>
      </c>
      <c r="AG144" s="32" t="n"/>
      <c r="AH144" s="34">
        <f>IF(U144&lt;&gt;"",(COUNTIF(W144,"PAGADO")+COUNTIF(Y144,"PAGADO")+COUNTIF(AA144,"PAGADO")+COUNTIF(AC144,"PAGADO")+COUNTIF(AE144,"PAGADO")+COUNTIF(AG144,"PAGADO"))*U144,"")</f>
        <v/>
      </c>
      <c r="AI144" s="34">
        <f>IF(AND(P144&lt;&gt;"",AH144&lt;&gt;""),P144-AH144,IF(P144&lt;&gt;"",P144,""))</f>
        <v/>
      </c>
      <c r="AJ144" s="32" t="n"/>
      <c r="AK144" s="32" t="n"/>
      <c r="AL144" s="32" t="n"/>
      <c r="AM144" s="34" t="n"/>
      <c r="AN144" s="35" t="n"/>
    </row>
    <row r="145" ht="20" customHeight="1">
      <c r="A145" s="24">
        <f>IF(C145&lt;&gt;"",ROW()-3,"")</f>
        <v/>
      </c>
      <c r="B145" s="25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7" t="n"/>
      <c r="N145" s="28" t="n"/>
      <c r="O145" s="28" t="n"/>
      <c r="P145" s="28">
        <f>IF(AND(Q145="SÍ",N145&lt;&gt;"",O145&lt;&gt;""),N145-O145,"")</f>
        <v/>
      </c>
      <c r="Q145" s="26" t="n"/>
      <c r="R145" s="26" t="n"/>
      <c r="S145" s="26" t="n"/>
      <c r="T145" s="26">
        <f>IF(S145&lt;&gt;"",CHOOSE(WEEKDAY(S145,2),"Lunes","Martes","Miércoles","Jueves","Viernes","Sábado","Domingo"),"")</f>
        <v/>
      </c>
      <c r="U145" s="28">
        <f>IF(AND(P145&lt;&gt;"",R145&gt;0),ROUND(P145/R145,2),"")</f>
        <v/>
      </c>
      <c r="V145" s="25">
        <f>IF(AND(Q145="SÍ",S145&lt;&gt;""),S145,"")</f>
        <v/>
      </c>
      <c r="W145" s="26" t="n"/>
      <c r="X145" s="25">
        <f>IF(V145&lt;&gt;"",V145+7,"")</f>
        <v/>
      </c>
      <c r="Y145" s="26" t="n"/>
      <c r="Z145" s="25">
        <f>IF(X145&lt;&gt;"",X145+7,"")</f>
        <v/>
      </c>
      <c r="AA145" s="26" t="n"/>
      <c r="AB145" s="25">
        <f>IF(Z145&lt;&gt;"",Z145+7,"")</f>
        <v/>
      </c>
      <c r="AC145" s="26" t="n"/>
      <c r="AD145" s="25">
        <f>IF(AB145&lt;&gt;"",AB145+7,"")</f>
        <v/>
      </c>
      <c r="AE145" s="26" t="n"/>
      <c r="AF145" s="25">
        <f>IF(AD145&lt;&gt;"",AD145+7,"")</f>
        <v/>
      </c>
      <c r="AG145" s="26" t="n"/>
      <c r="AH145" s="28">
        <f>IF(U145&lt;&gt;"",(COUNTIF(W145,"PAGADO")+COUNTIF(Y145,"PAGADO")+COUNTIF(AA145,"PAGADO")+COUNTIF(AC145,"PAGADO")+COUNTIF(AE145,"PAGADO")+COUNTIF(AG145,"PAGADO"))*U145,"")</f>
        <v/>
      </c>
      <c r="AI145" s="28">
        <f>IF(AND(P145&lt;&gt;"",AH145&lt;&gt;""),P145-AH145,IF(P145&lt;&gt;"",P145,""))</f>
        <v/>
      </c>
      <c r="AJ145" s="26" t="n"/>
      <c r="AK145" s="26" t="n"/>
      <c r="AL145" s="26" t="n"/>
      <c r="AM145" s="28" t="n"/>
      <c r="AN145" s="29" t="n"/>
    </row>
    <row r="146" ht="20" customHeight="1">
      <c r="A146" s="30">
        <f>IF(C146&lt;&gt;"",ROW()-3,"")</f>
        <v/>
      </c>
      <c r="B146" s="31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3" t="n"/>
      <c r="N146" s="34" t="n"/>
      <c r="O146" s="34" t="n"/>
      <c r="P146" s="34">
        <f>IF(AND(Q146="SÍ",N146&lt;&gt;"",O146&lt;&gt;""),N146-O146,"")</f>
        <v/>
      </c>
      <c r="Q146" s="32" t="n"/>
      <c r="R146" s="32" t="n"/>
      <c r="S146" s="32" t="n"/>
      <c r="T146" s="32">
        <f>IF(S146&lt;&gt;"",CHOOSE(WEEKDAY(S146,2),"Lunes","Martes","Miércoles","Jueves","Viernes","Sábado","Domingo"),"")</f>
        <v/>
      </c>
      <c r="U146" s="34">
        <f>IF(AND(P146&lt;&gt;"",R146&gt;0),ROUND(P146/R146,2),"")</f>
        <v/>
      </c>
      <c r="V146" s="31">
        <f>IF(AND(Q146="SÍ",S146&lt;&gt;""),S146,"")</f>
        <v/>
      </c>
      <c r="W146" s="32" t="n"/>
      <c r="X146" s="31">
        <f>IF(V146&lt;&gt;"",V146+7,"")</f>
        <v/>
      </c>
      <c r="Y146" s="32" t="n"/>
      <c r="Z146" s="31">
        <f>IF(X146&lt;&gt;"",X146+7,"")</f>
        <v/>
      </c>
      <c r="AA146" s="32" t="n"/>
      <c r="AB146" s="31">
        <f>IF(Z146&lt;&gt;"",Z146+7,"")</f>
        <v/>
      </c>
      <c r="AC146" s="32" t="n"/>
      <c r="AD146" s="31">
        <f>IF(AB146&lt;&gt;"",AB146+7,"")</f>
        <v/>
      </c>
      <c r="AE146" s="32" t="n"/>
      <c r="AF146" s="31">
        <f>IF(AD146&lt;&gt;"",AD146+7,"")</f>
        <v/>
      </c>
      <c r="AG146" s="32" t="n"/>
      <c r="AH146" s="34">
        <f>IF(U146&lt;&gt;"",(COUNTIF(W146,"PAGADO")+COUNTIF(Y146,"PAGADO")+COUNTIF(AA146,"PAGADO")+COUNTIF(AC146,"PAGADO")+COUNTIF(AE146,"PAGADO")+COUNTIF(AG146,"PAGADO"))*U146,"")</f>
        <v/>
      </c>
      <c r="AI146" s="34">
        <f>IF(AND(P146&lt;&gt;"",AH146&lt;&gt;""),P146-AH146,IF(P146&lt;&gt;"",P146,""))</f>
        <v/>
      </c>
      <c r="AJ146" s="32" t="n"/>
      <c r="AK146" s="32" t="n"/>
      <c r="AL146" s="32" t="n"/>
      <c r="AM146" s="34" t="n"/>
      <c r="AN146" s="35" t="n"/>
    </row>
    <row r="147" ht="20" customHeight="1">
      <c r="A147" s="24">
        <f>IF(C147&lt;&gt;"",ROW()-3,"")</f>
        <v/>
      </c>
      <c r="B147" s="25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7" t="n"/>
      <c r="N147" s="28" t="n"/>
      <c r="O147" s="28" t="n"/>
      <c r="P147" s="28">
        <f>IF(AND(Q147="SÍ",N147&lt;&gt;"",O147&lt;&gt;""),N147-O147,"")</f>
        <v/>
      </c>
      <c r="Q147" s="26" t="n"/>
      <c r="R147" s="26" t="n"/>
      <c r="S147" s="26" t="n"/>
      <c r="T147" s="26">
        <f>IF(S147&lt;&gt;"",CHOOSE(WEEKDAY(S147,2),"Lunes","Martes","Miércoles","Jueves","Viernes","Sábado","Domingo"),"")</f>
        <v/>
      </c>
      <c r="U147" s="28">
        <f>IF(AND(P147&lt;&gt;"",R147&gt;0),ROUND(P147/R147,2),"")</f>
        <v/>
      </c>
      <c r="V147" s="25">
        <f>IF(AND(Q147="SÍ",S147&lt;&gt;""),S147,"")</f>
        <v/>
      </c>
      <c r="W147" s="26" t="n"/>
      <c r="X147" s="25">
        <f>IF(V147&lt;&gt;"",V147+7,"")</f>
        <v/>
      </c>
      <c r="Y147" s="26" t="n"/>
      <c r="Z147" s="25">
        <f>IF(X147&lt;&gt;"",X147+7,"")</f>
        <v/>
      </c>
      <c r="AA147" s="26" t="n"/>
      <c r="AB147" s="25">
        <f>IF(Z147&lt;&gt;"",Z147+7,"")</f>
        <v/>
      </c>
      <c r="AC147" s="26" t="n"/>
      <c r="AD147" s="25">
        <f>IF(AB147&lt;&gt;"",AB147+7,"")</f>
        <v/>
      </c>
      <c r="AE147" s="26" t="n"/>
      <c r="AF147" s="25">
        <f>IF(AD147&lt;&gt;"",AD147+7,"")</f>
        <v/>
      </c>
      <c r="AG147" s="26" t="n"/>
      <c r="AH147" s="28">
        <f>IF(U147&lt;&gt;"",(COUNTIF(W147,"PAGADO")+COUNTIF(Y147,"PAGADO")+COUNTIF(AA147,"PAGADO")+COUNTIF(AC147,"PAGADO")+COUNTIF(AE147,"PAGADO")+COUNTIF(AG147,"PAGADO"))*U147,"")</f>
        <v/>
      </c>
      <c r="AI147" s="28">
        <f>IF(AND(P147&lt;&gt;"",AH147&lt;&gt;""),P147-AH147,IF(P147&lt;&gt;"",P147,""))</f>
        <v/>
      </c>
      <c r="AJ147" s="26" t="n"/>
      <c r="AK147" s="26" t="n"/>
      <c r="AL147" s="26" t="n"/>
      <c r="AM147" s="28" t="n"/>
      <c r="AN147" s="29" t="n"/>
    </row>
    <row r="148" ht="20" customHeight="1">
      <c r="A148" s="30">
        <f>IF(C148&lt;&gt;"",ROW()-3,"")</f>
        <v/>
      </c>
      <c r="B148" s="31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3" t="n"/>
      <c r="N148" s="34" t="n"/>
      <c r="O148" s="34" t="n"/>
      <c r="P148" s="34">
        <f>IF(AND(Q148="SÍ",N148&lt;&gt;"",O148&lt;&gt;""),N148-O148,"")</f>
        <v/>
      </c>
      <c r="Q148" s="32" t="n"/>
      <c r="R148" s="32" t="n"/>
      <c r="S148" s="32" t="n"/>
      <c r="T148" s="32">
        <f>IF(S148&lt;&gt;"",CHOOSE(WEEKDAY(S148,2),"Lunes","Martes","Miércoles","Jueves","Viernes","Sábado","Domingo"),"")</f>
        <v/>
      </c>
      <c r="U148" s="34">
        <f>IF(AND(P148&lt;&gt;"",R148&gt;0),ROUND(P148/R148,2),"")</f>
        <v/>
      </c>
      <c r="V148" s="31">
        <f>IF(AND(Q148="SÍ",S148&lt;&gt;""),S148,"")</f>
        <v/>
      </c>
      <c r="W148" s="32" t="n"/>
      <c r="X148" s="31">
        <f>IF(V148&lt;&gt;"",V148+7,"")</f>
        <v/>
      </c>
      <c r="Y148" s="32" t="n"/>
      <c r="Z148" s="31">
        <f>IF(X148&lt;&gt;"",X148+7,"")</f>
        <v/>
      </c>
      <c r="AA148" s="32" t="n"/>
      <c r="AB148" s="31">
        <f>IF(Z148&lt;&gt;"",Z148+7,"")</f>
        <v/>
      </c>
      <c r="AC148" s="32" t="n"/>
      <c r="AD148" s="31">
        <f>IF(AB148&lt;&gt;"",AB148+7,"")</f>
        <v/>
      </c>
      <c r="AE148" s="32" t="n"/>
      <c r="AF148" s="31">
        <f>IF(AD148&lt;&gt;"",AD148+7,"")</f>
        <v/>
      </c>
      <c r="AG148" s="32" t="n"/>
      <c r="AH148" s="34">
        <f>IF(U148&lt;&gt;"",(COUNTIF(W148,"PAGADO")+COUNTIF(Y148,"PAGADO")+COUNTIF(AA148,"PAGADO")+COUNTIF(AC148,"PAGADO")+COUNTIF(AE148,"PAGADO")+COUNTIF(AG148,"PAGADO"))*U148,"")</f>
        <v/>
      </c>
      <c r="AI148" s="34">
        <f>IF(AND(P148&lt;&gt;"",AH148&lt;&gt;""),P148-AH148,IF(P148&lt;&gt;"",P148,""))</f>
        <v/>
      </c>
      <c r="AJ148" s="32" t="n"/>
      <c r="AK148" s="32" t="n"/>
      <c r="AL148" s="32" t="n"/>
      <c r="AM148" s="34" t="n"/>
      <c r="AN148" s="35" t="n"/>
    </row>
    <row r="149" ht="20" customHeight="1">
      <c r="A149" s="24">
        <f>IF(C149&lt;&gt;"",ROW()-3,"")</f>
        <v/>
      </c>
      <c r="B149" s="25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7" t="n"/>
      <c r="N149" s="28" t="n"/>
      <c r="O149" s="28" t="n"/>
      <c r="P149" s="28">
        <f>IF(AND(Q149="SÍ",N149&lt;&gt;"",O149&lt;&gt;""),N149-O149,"")</f>
        <v/>
      </c>
      <c r="Q149" s="26" t="n"/>
      <c r="R149" s="26" t="n"/>
      <c r="S149" s="26" t="n"/>
      <c r="T149" s="26">
        <f>IF(S149&lt;&gt;"",CHOOSE(WEEKDAY(S149,2),"Lunes","Martes","Miércoles","Jueves","Viernes","Sábado","Domingo"),"")</f>
        <v/>
      </c>
      <c r="U149" s="28">
        <f>IF(AND(P149&lt;&gt;"",R149&gt;0),ROUND(P149/R149,2),"")</f>
        <v/>
      </c>
      <c r="V149" s="25">
        <f>IF(AND(Q149="SÍ",S149&lt;&gt;""),S149,"")</f>
        <v/>
      </c>
      <c r="W149" s="26" t="n"/>
      <c r="X149" s="25">
        <f>IF(V149&lt;&gt;"",V149+7,"")</f>
        <v/>
      </c>
      <c r="Y149" s="26" t="n"/>
      <c r="Z149" s="25">
        <f>IF(X149&lt;&gt;"",X149+7,"")</f>
        <v/>
      </c>
      <c r="AA149" s="26" t="n"/>
      <c r="AB149" s="25">
        <f>IF(Z149&lt;&gt;"",Z149+7,"")</f>
        <v/>
      </c>
      <c r="AC149" s="26" t="n"/>
      <c r="AD149" s="25">
        <f>IF(AB149&lt;&gt;"",AB149+7,"")</f>
        <v/>
      </c>
      <c r="AE149" s="26" t="n"/>
      <c r="AF149" s="25">
        <f>IF(AD149&lt;&gt;"",AD149+7,"")</f>
        <v/>
      </c>
      <c r="AG149" s="26" t="n"/>
      <c r="AH149" s="28">
        <f>IF(U149&lt;&gt;"",(COUNTIF(W149,"PAGADO")+COUNTIF(Y149,"PAGADO")+COUNTIF(AA149,"PAGADO")+COUNTIF(AC149,"PAGADO")+COUNTIF(AE149,"PAGADO")+COUNTIF(AG149,"PAGADO"))*U149,"")</f>
        <v/>
      </c>
      <c r="AI149" s="28">
        <f>IF(AND(P149&lt;&gt;"",AH149&lt;&gt;""),P149-AH149,IF(P149&lt;&gt;"",P149,""))</f>
        <v/>
      </c>
      <c r="AJ149" s="26" t="n"/>
      <c r="AK149" s="26" t="n"/>
      <c r="AL149" s="26" t="n"/>
      <c r="AM149" s="28" t="n"/>
      <c r="AN149" s="29" t="n"/>
    </row>
    <row r="150" ht="20" customHeight="1">
      <c r="A150" s="30">
        <f>IF(C150&lt;&gt;"",ROW()-3,"")</f>
        <v/>
      </c>
      <c r="B150" s="31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3" t="n"/>
      <c r="N150" s="34" t="n"/>
      <c r="O150" s="34" t="n"/>
      <c r="P150" s="34">
        <f>IF(AND(Q150="SÍ",N150&lt;&gt;"",O150&lt;&gt;""),N150-O150,"")</f>
        <v/>
      </c>
      <c r="Q150" s="32" t="n"/>
      <c r="R150" s="32" t="n"/>
      <c r="S150" s="32" t="n"/>
      <c r="T150" s="32">
        <f>IF(S150&lt;&gt;"",CHOOSE(WEEKDAY(S150,2),"Lunes","Martes","Miércoles","Jueves","Viernes","Sábado","Domingo"),"")</f>
        <v/>
      </c>
      <c r="U150" s="34">
        <f>IF(AND(P150&lt;&gt;"",R150&gt;0),ROUND(P150/R150,2),"")</f>
        <v/>
      </c>
      <c r="V150" s="31">
        <f>IF(AND(Q150="SÍ",S150&lt;&gt;""),S150,"")</f>
        <v/>
      </c>
      <c r="W150" s="32" t="n"/>
      <c r="X150" s="31">
        <f>IF(V150&lt;&gt;"",V150+7,"")</f>
        <v/>
      </c>
      <c r="Y150" s="32" t="n"/>
      <c r="Z150" s="31">
        <f>IF(X150&lt;&gt;"",X150+7,"")</f>
        <v/>
      </c>
      <c r="AA150" s="32" t="n"/>
      <c r="AB150" s="31">
        <f>IF(Z150&lt;&gt;"",Z150+7,"")</f>
        <v/>
      </c>
      <c r="AC150" s="32" t="n"/>
      <c r="AD150" s="31">
        <f>IF(AB150&lt;&gt;"",AB150+7,"")</f>
        <v/>
      </c>
      <c r="AE150" s="32" t="n"/>
      <c r="AF150" s="31">
        <f>IF(AD150&lt;&gt;"",AD150+7,"")</f>
        <v/>
      </c>
      <c r="AG150" s="32" t="n"/>
      <c r="AH150" s="34">
        <f>IF(U150&lt;&gt;"",(COUNTIF(W150,"PAGADO")+COUNTIF(Y150,"PAGADO")+COUNTIF(AA150,"PAGADO")+COUNTIF(AC150,"PAGADO")+COUNTIF(AE150,"PAGADO")+COUNTIF(AG150,"PAGADO"))*U150,"")</f>
        <v/>
      </c>
      <c r="AI150" s="34">
        <f>IF(AND(P150&lt;&gt;"",AH150&lt;&gt;""),P150-AH150,IF(P150&lt;&gt;"",P150,""))</f>
        <v/>
      </c>
      <c r="AJ150" s="32" t="n"/>
      <c r="AK150" s="32" t="n"/>
      <c r="AL150" s="32" t="n"/>
      <c r="AM150" s="34" t="n"/>
      <c r="AN150" s="35" t="n"/>
    </row>
    <row r="151" ht="20" customHeight="1">
      <c r="A151" s="24">
        <f>IF(C151&lt;&gt;"",ROW()-3,"")</f>
        <v/>
      </c>
      <c r="B151" s="25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7" t="n"/>
      <c r="N151" s="28" t="n"/>
      <c r="O151" s="28" t="n"/>
      <c r="P151" s="28">
        <f>IF(AND(Q151="SÍ",N151&lt;&gt;"",O151&lt;&gt;""),N151-O151,"")</f>
        <v/>
      </c>
      <c r="Q151" s="26" t="n"/>
      <c r="R151" s="26" t="n"/>
      <c r="S151" s="26" t="n"/>
      <c r="T151" s="26">
        <f>IF(S151&lt;&gt;"",CHOOSE(WEEKDAY(S151,2),"Lunes","Martes","Miércoles","Jueves","Viernes","Sábado","Domingo"),"")</f>
        <v/>
      </c>
      <c r="U151" s="28">
        <f>IF(AND(P151&lt;&gt;"",R151&gt;0),ROUND(P151/R151,2),"")</f>
        <v/>
      </c>
      <c r="V151" s="25">
        <f>IF(AND(Q151="SÍ",S151&lt;&gt;""),S151,"")</f>
        <v/>
      </c>
      <c r="W151" s="26" t="n"/>
      <c r="X151" s="25">
        <f>IF(V151&lt;&gt;"",V151+7,"")</f>
        <v/>
      </c>
      <c r="Y151" s="26" t="n"/>
      <c r="Z151" s="25">
        <f>IF(X151&lt;&gt;"",X151+7,"")</f>
        <v/>
      </c>
      <c r="AA151" s="26" t="n"/>
      <c r="AB151" s="25">
        <f>IF(Z151&lt;&gt;"",Z151+7,"")</f>
        <v/>
      </c>
      <c r="AC151" s="26" t="n"/>
      <c r="AD151" s="25">
        <f>IF(AB151&lt;&gt;"",AB151+7,"")</f>
        <v/>
      </c>
      <c r="AE151" s="26" t="n"/>
      <c r="AF151" s="25">
        <f>IF(AD151&lt;&gt;"",AD151+7,"")</f>
        <v/>
      </c>
      <c r="AG151" s="26" t="n"/>
      <c r="AH151" s="28">
        <f>IF(U151&lt;&gt;"",(COUNTIF(W151,"PAGADO")+COUNTIF(Y151,"PAGADO")+COUNTIF(AA151,"PAGADO")+COUNTIF(AC151,"PAGADO")+COUNTIF(AE151,"PAGADO")+COUNTIF(AG151,"PAGADO"))*U151,"")</f>
        <v/>
      </c>
      <c r="AI151" s="28">
        <f>IF(AND(P151&lt;&gt;"",AH151&lt;&gt;""),P151-AH151,IF(P151&lt;&gt;"",P151,""))</f>
        <v/>
      </c>
      <c r="AJ151" s="26" t="n"/>
      <c r="AK151" s="26" t="n"/>
      <c r="AL151" s="26" t="n"/>
      <c r="AM151" s="28" t="n"/>
      <c r="AN151" s="29" t="n"/>
    </row>
    <row r="152" ht="20" customHeight="1">
      <c r="A152" s="30">
        <f>IF(C152&lt;&gt;"",ROW()-3,"")</f>
        <v/>
      </c>
      <c r="B152" s="31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3" t="n"/>
      <c r="N152" s="34" t="n"/>
      <c r="O152" s="34" t="n"/>
      <c r="P152" s="34">
        <f>IF(AND(Q152="SÍ",N152&lt;&gt;"",O152&lt;&gt;""),N152-O152,"")</f>
        <v/>
      </c>
      <c r="Q152" s="32" t="n"/>
      <c r="R152" s="32" t="n"/>
      <c r="S152" s="32" t="n"/>
      <c r="T152" s="32">
        <f>IF(S152&lt;&gt;"",CHOOSE(WEEKDAY(S152,2),"Lunes","Martes","Miércoles","Jueves","Viernes","Sábado","Domingo"),"")</f>
        <v/>
      </c>
      <c r="U152" s="34">
        <f>IF(AND(P152&lt;&gt;"",R152&gt;0),ROUND(P152/R152,2),"")</f>
        <v/>
      </c>
      <c r="V152" s="31">
        <f>IF(AND(Q152="SÍ",S152&lt;&gt;""),S152,"")</f>
        <v/>
      </c>
      <c r="W152" s="32" t="n"/>
      <c r="X152" s="31">
        <f>IF(V152&lt;&gt;"",V152+7,"")</f>
        <v/>
      </c>
      <c r="Y152" s="32" t="n"/>
      <c r="Z152" s="31">
        <f>IF(X152&lt;&gt;"",X152+7,"")</f>
        <v/>
      </c>
      <c r="AA152" s="32" t="n"/>
      <c r="AB152" s="31">
        <f>IF(Z152&lt;&gt;"",Z152+7,"")</f>
        <v/>
      </c>
      <c r="AC152" s="32" t="n"/>
      <c r="AD152" s="31">
        <f>IF(AB152&lt;&gt;"",AB152+7,"")</f>
        <v/>
      </c>
      <c r="AE152" s="32" t="n"/>
      <c r="AF152" s="31">
        <f>IF(AD152&lt;&gt;"",AD152+7,"")</f>
        <v/>
      </c>
      <c r="AG152" s="32" t="n"/>
      <c r="AH152" s="34">
        <f>IF(U152&lt;&gt;"",(COUNTIF(W152,"PAGADO")+COUNTIF(Y152,"PAGADO")+COUNTIF(AA152,"PAGADO")+COUNTIF(AC152,"PAGADO")+COUNTIF(AE152,"PAGADO")+COUNTIF(AG152,"PAGADO"))*U152,"")</f>
        <v/>
      </c>
      <c r="AI152" s="34">
        <f>IF(AND(P152&lt;&gt;"",AH152&lt;&gt;""),P152-AH152,IF(P152&lt;&gt;"",P152,""))</f>
        <v/>
      </c>
      <c r="AJ152" s="32" t="n"/>
      <c r="AK152" s="32" t="n"/>
      <c r="AL152" s="32" t="n"/>
      <c r="AM152" s="34" t="n"/>
      <c r="AN152" s="35" t="n"/>
    </row>
    <row r="153" ht="20" customHeight="1">
      <c r="A153" s="24">
        <f>IF(C153&lt;&gt;"",ROW()-3,"")</f>
        <v/>
      </c>
      <c r="B153" s="25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7" t="n"/>
      <c r="N153" s="28" t="n"/>
      <c r="O153" s="28" t="n"/>
      <c r="P153" s="28">
        <f>IF(AND(Q153="SÍ",N153&lt;&gt;"",O153&lt;&gt;""),N153-O153,"")</f>
        <v/>
      </c>
      <c r="Q153" s="26" t="n"/>
      <c r="R153" s="26" t="n"/>
      <c r="S153" s="26" t="n"/>
      <c r="T153" s="26">
        <f>IF(S153&lt;&gt;"",CHOOSE(WEEKDAY(S153,2),"Lunes","Martes","Miércoles","Jueves","Viernes","Sábado","Domingo"),"")</f>
        <v/>
      </c>
      <c r="U153" s="28">
        <f>IF(AND(P153&lt;&gt;"",R153&gt;0),ROUND(P153/R153,2),"")</f>
        <v/>
      </c>
      <c r="V153" s="25">
        <f>IF(AND(Q153="SÍ",S153&lt;&gt;""),S153,"")</f>
        <v/>
      </c>
      <c r="W153" s="26" t="n"/>
      <c r="X153" s="25">
        <f>IF(V153&lt;&gt;"",V153+7,"")</f>
        <v/>
      </c>
      <c r="Y153" s="26" t="n"/>
      <c r="Z153" s="25">
        <f>IF(X153&lt;&gt;"",X153+7,"")</f>
        <v/>
      </c>
      <c r="AA153" s="26" t="n"/>
      <c r="AB153" s="25">
        <f>IF(Z153&lt;&gt;"",Z153+7,"")</f>
        <v/>
      </c>
      <c r="AC153" s="26" t="n"/>
      <c r="AD153" s="25">
        <f>IF(AB153&lt;&gt;"",AB153+7,"")</f>
        <v/>
      </c>
      <c r="AE153" s="26" t="n"/>
      <c r="AF153" s="25">
        <f>IF(AD153&lt;&gt;"",AD153+7,"")</f>
        <v/>
      </c>
      <c r="AG153" s="26" t="n"/>
      <c r="AH153" s="28">
        <f>IF(U153&lt;&gt;"",(COUNTIF(W153,"PAGADO")+COUNTIF(Y153,"PAGADO")+COUNTIF(AA153,"PAGADO")+COUNTIF(AC153,"PAGADO")+COUNTIF(AE153,"PAGADO")+COUNTIF(AG153,"PAGADO"))*U153,"")</f>
        <v/>
      </c>
      <c r="AI153" s="28">
        <f>IF(AND(P153&lt;&gt;"",AH153&lt;&gt;""),P153-AH153,IF(P153&lt;&gt;"",P153,""))</f>
        <v/>
      </c>
      <c r="AJ153" s="26" t="n"/>
      <c r="AK153" s="26" t="n"/>
      <c r="AL153" s="26" t="n"/>
      <c r="AM153" s="28" t="n"/>
      <c r="AN153" s="29" t="n"/>
    </row>
    <row r="155" ht="22" customHeight="1">
      <c r="A155" s="36" t="inlineStr">
        <is>
          <t>TOTALES</t>
        </is>
      </c>
      <c r="N155" s="37">
        <f>SUM(N4:N153)</f>
        <v/>
      </c>
      <c r="O155" s="37">
        <f>SUM(O4:O153)</f>
        <v/>
      </c>
      <c r="P155" s="37">
        <f>SUM(P4:P153)</f>
        <v/>
      </c>
      <c r="AH155" s="37">
        <f>SUM(AH4:AH153)</f>
        <v/>
      </c>
      <c r="AI155" s="37">
        <f>SUM(AI4:AI153)</f>
        <v/>
      </c>
      <c r="AM155" s="37">
        <f>SUM(AM4:AM153)</f>
        <v/>
      </c>
    </row>
  </sheetData>
  <mergeCells count="11">
    <mergeCell ref="V2:AG2"/>
    <mergeCell ref="AH2:AI2"/>
    <mergeCell ref="N2:P2"/>
    <mergeCell ref="A155:M155"/>
    <mergeCell ref="Q2:U2"/>
    <mergeCell ref="C2:G2"/>
    <mergeCell ref="B2"/>
    <mergeCell ref="A2"/>
    <mergeCell ref="AJ2:AN2"/>
    <mergeCell ref="H2:M2"/>
    <mergeCell ref="A1:AN1"/>
  </mergeCells>
  <conditionalFormatting sqref="W4:W153">
    <cfRule type="cellIs" priority="1" operator="equal" dxfId="0">
      <formula>"PAGADO"</formula>
    </cfRule>
    <cfRule type="cellIs" priority="2" operator="equal" dxfId="1">
      <formula>"VENCIDO"</formula>
    </cfRule>
    <cfRule type="cellIs" priority="3" operator="equal" dxfId="2">
      <formula>"NO PAGÓ"</formula>
    </cfRule>
    <cfRule type="cellIs" priority="4" operator="equal" dxfId="3">
      <formula>"PENDIENTE"</formula>
    </cfRule>
  </conditionalFormatting>
  <conditionalFormatting sqref="Y4:Y153">
    <cfRule type="cellIs" priority="5" operator="equal" dxfId="0">
      <formula>"PAGADO"</formula>
    </cfRule>
    <cfRule type="cellIs" priority="6" operator="equal" dxfId="1">
      <formula>"VENCIDO"</formula>
    </cfRule>
    <cfRule type="cellIs" priority="7" operator="equal" dxfId="2">
      <formula>"NO PAGÓ"</formula>
    </cfRule>
    <cfRule type="cellIs" priority="8" operator="equal" dxfId="3">
      <formula>"PENDIENTE"</formula>
    </cfRule>
  </conditionalFormatting>
  <conditionalFormatting sqref="AA4:AA153">
    <cfRule type="cellIs" priority="9" operator="equal" dxfId="0">
      <formula>"PAGADO"</formula>
    </cfRule>
    <cfRule type="cellIs" priority="10" operator="equal" dxfId="1">
      <formula>"VENCIDO"</formula>
    </cfRule>
    <cfRule type="cellIs" priority="11" operator="equal" dxfId="2">
      <formula>"NO PAGÓ"</formula>
    </cfRule>
    <cfRule type="cellIs" priority="12" operator="equal" dxfId="3">
      <formula>"PENDIENTE"</formula>
    </cfRule>
  </conditionalFormatting>
  <conditionalFormatting sqref="AC4:AC153">
    <cfRule type="cellIs" priority="13" operator="equal" dxfId="0">
      <formula>"PAGADO"</formula>
    </cfRule>
    <cfRule type="cellIs" priority="14" operator="equal" dxfId="1">
      <formula>"VENCIDO"</formula>
    </cfRule>
    <cfRule type="cellIs" priority="15" operator="equal" dxfId="2">
      <formula>"NO PAGÓ"</formula>
    </cfRule>
    <cfRule type="cellIs" priority="16" operator="equal" dxfId="3">
      <formula>"PENDIENTE"</formula>
    </cfRule>
  </conditionalFormatting>
  <conditionalFormatting sqref="AE4:AE153">
    <cfRule type="cellIs" priority="17" operator="equal" dxfId="0">
      <formula>"PAGADO"</formula>
    </cfRule>
    <cfRule type="cellIs" priority="18" operator="equal" dxfId="1">
      <formula>"VENCIDO"</formula>
    </cfRule>
    <cfRule type="cellIs" priority="19" operator="equal" dxfId="2">
      <formula>"NO PAGÓ"</formula>
    </cfRule>
    <cfRule type="cellIs" priority="20" operator="equal" dxfId="3">
      <formula>"PENDIENTE"</formula>
    </cfRule>
  </conditionalFormatting>
  <conditionalFormatting sqref="AG4:AG153">
    <cfRule type="cellIs" priority="21" operator="equal" dxfId="0">
      <formula>"PAGADO"</formula>
    </cfRule>
    <cfRule type="cellIs" priority="22" operator="equal" dxfId="1">
      <formula>"VENCIDO"</formula>
    </cfRule>
    <cfRule type="cellIs" priority="23" operator="equal" dxfId="2">
      <formula>"NO PAGÓ"</formula>
    </cfRule>
    <cfRule type="cellIs" priority="24" operator="equal" dxfId="3">
      <formula>"PENDIENTE"</formula>
    </cfRule>
  </conditionalFormatting>
  <conditionalFormatting sqref="AL4:AL153">
    <cfRule type="cellIs" priority="25" operator="equal" dxfId="4">
      <formula>"ACTIVO"</formula>
    </cfRule>
    <cfRule type="cellIs" priority="26" operator="equal" dxfId="0">
      <formula>"PAGADO COMPLETO"</formula>
    </cfRule>
    <cfRule type="cellIs" priority="27" operator="equal" dxfId="1">
      <formula>"EN REPO"</formula>
    </cfRule>
    <cfRule type="cellIs" priority="28" operator="equal" dxfId="5">
      <formula>"CANCELADO"</formula>
    </cfRule>
  </conditionalFormatting>
  <conditionalFormatting sqref="AI4:AI153">
    <cfRule type="cellIs" priority="29" operator="equal" dxfId="0">
      <formula>0</formula>
    </cfRule>
    <cfRule type="cellIs" priority="30" operator="greaterThan" dxfId="6">
      <formula>0</formula>
    </cfRule>
  </conditionalFormatting>
  <conditionalFormatting sqref="Q4:Q153">
    <cfRule type="cellIs" priority="31" operator="equal" dxfId="7">
      <formula>"SÍ"</formula>
    </cfRule>
  </conditionalFormatting>
  <dataValidations count="11">
    <dataValidation sqref="Q4:Q153" showDropDown="0" showInputMessage="1" showErrorMessage="1" allowBlank="0" errorTitle="Valor no válido" error="Selecciona un valor de la lista." promptTitle="Pick Payment" prompt="¿El cliente paga en cuotas semanales?" type="list">
      <formula1>"SÍ,NO"</formula1>
    </dataValidation>
    <dataValidation sqref="G4:G153" showDropDown="0" showInputMessage="1" showErrorMessage="1" allowBlank="0" errorTitle="Valor no válido" error="Selecciona un valor de la lista." promptTitle="Fuente" prompt="¿Cómo llegó el cliente?" type="list">
      <formula1>"REFERIDO,WALK-IN,INTERNET,REPEAT,REDES SOCIALES,ANUNCIO,OTRO"</formula1>
    </dataValidation>
    <dataValidation sqref="AK4:AK153" showDropDown="0" showInputMessage="1" showErrorMessage="1" allowBlank="0" errorTitle="Valor no válido" error="Selecciona un valor de la lista." promptTitle="GPS" prompt="¿Se instaló GPS al vehículo?" type="list">
      <formula1>"SÍ,NO"</formula1>
    </dataValidation>
    <dataValidation sqref="AL4:AL153" showDropDown="0" showInputMessage="1" showErrorMessage="1" allowBlank="0" errorTitle="Valor no válido" error="Selecciona un valor de la lista." promptTitle="Estatus Deal" prompt="Estado actual del deal" type="list">
      <formula1>"ACTIVO,PAGADO COMPLETO,EN REPO,CANCELADO,RECOMPRADO"</formula1>
    </dataValidation>
    <dataValidation sqref="W4:W153" showDropDown="0" showInputMessage="1" showErrorMessage="1" allowBlank="0" errorTitle="Valor no válido" error="Selecciona un valor de la lista." promptTitle="Estatus Pago" prompt="Marca el estado de este pago" type="list">
      <formula1>"PAGADO,VENCIDO,NO PAGÓ,PENDIENTE"</formula1>
    </dataValidation>
    <dataValidation sqref="Y4:Y153" showDropDown="0" showInputMessage="1" showErrorMessage="1" allowBlank="0" errorTitle="Valor no válido" error="Selecciona un valor de la lista." promptTitle="Estatus Pago" prompt="Marca el estado de este pago" type="list">
      <formula1>"PAGADO,VENCIDO,NO PAGÓ,PENDIENTE"</formula1>
    </dataValidation>
    <dataValidation sqref="AA4:AA153" showDropDown="0" showInputMessage="1" showErrorMessage="1" allowBlank="0" errorTitle="Valor no válido" error="Selecciona un valor de la lista." promptTitle="Estatus Pago" prompt="Marca el estado de este pago" type="list">
      <formula1>"PAGADO,VENCIDO,NO PAGÓ,PENDIENTE"</formula1>
    </dataValidation>
    <dataValidation sqref="AC4:AC153" showDropDown="0" showInputMessage="1" showErrorMessage="1" allowBlank="0" errorTitle="Valor no válido" error="Selecciona un valor de la lista." promptTitle="Estatus Pago" prompt="Marca el estado de este pago" type="list">
      <formula1>"PAGADO,VENCIDO,NO PAGÓ,PENDIENTE"</formula1>
    </dataValidation>
    <dataValidation sqref="AE4:AE153" showDropDown="0" showInputMessage="1" showErrorMessage="1" allowBlank="0" errorTitle="Valor no válido" error="Selecciona un valor de la lista." promptTitle="Estatus Pago" prompt="Marca el estado de este pago" type="list">
      <formula1>"PAGADO,VENCIDO,NO PAGÓ,PENDIENTE"</formula1>
    </dataValidation>
    <dataValidation sqref="AG4:AG153" showDropDown="0" showInputMessage="1" showErrorMessage="1" allowBlank="0" errorTitle="Valor no válido" error="Selecciona un valor de la lista." promptTitle="Estatus Pago" prompt="Marca el estado de este pago" type="list">
      <formula1>"PAGADO,VENCIDO,NO PAGÓ,PENDIENTE"</formula1>
    </dataValidation>
    <dataValidation sqref="R4:R153" showDropDown="0" showInputMessage="0" showErrorMessage="1" allowBlank="0" errorTitle="Cuotas inválidas" error="Ingresa un número entre 1 y 12." type="whole" operator="between">
      <formula1>1</formula1>
      <formula2>12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832A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4" customHeight="1">
      <c r="A1" s="38" t="inlineStr">
        <is>
          <t>AUTOMALL  ·  DASHBOARD DE VENTAS</t>
        </is>
      </c>
    </row>
    <row r="2" ht="18" customHeight="1">
      <c r="A2" s="39" t="inlineStr">
        <is>
          <t>Los números se actualizan automáticamente desde la hoja 'Ventas'</t>
        </is>
      </c>
    </row>
    <row r="3" ht="10" customHeight="1"/>
    <row r="4" ht="28" customHeight="1">
      <c r="B4" s="11" t="inlineStr">
        <is>
          <t>TOTAL VENTAS</t>
        </is>
      </c>
      <c r="C4" s="11" t="inlineStr">
        <is>
          <t>PICK PAYMENT</t>
        </is>
      </c>
      <c r="D4" s="11" t="inlineStr">
        <is>
          <t>VENTAS ACTIVAS</t>
        </is>
      </c>
      <c r="E4" s="11" t="inlineStr">
        <is>
          <t>TOTAL VENDIDO (PRECIO)</t>
        </is>
      </c>
      <c r="F4" s="11" t="inlineStr">
        <is>
          <t>TOTAL COBRADO</t>
        </is>
      </c>
    </row>
    <row r="5" ht="42" customHeight="1">
      <c r="B5" s="40">
        <f>COUNTA(Ventas!C4:C153)</f>
        <v/>
      </c>
      <c r="C5" s="40">
        <f>COUNTIF(Ventas!Q4:Q153,"SÍ")</f>
        <v/>
      </c>
      <c r="D5" s="40">
        <f>COUNTIF(Ventas!AL4:AL153,"ACTIVO")</f>
        <v/>
      </c>
      <c r="E5" s="41">
        <f>SUM(Ventas!N4:N153)</f>
        <v/>
      </c>
      <c r="F5" s="41">
        <f>SUM(Ventas!AH4:AH153)</f>
        <v/>
      </c>
    </row>
    <row r="7" ht="22" customHeight="1">
      <c r="B7" s="42" t="inlineStr">
        <is>
          <t>MÉTRICA</t>
        </is>
      </c>
      <c r="D7" s="42" t="inlineStr">
        <is>
          <t>VALOR</t>
        </is>
      </c>
    </row>
    <row r="8" ht="22" customHeight="1">
      <c r="B8" s="43" t="inlineStr">
        <is>
          <t>Deals PAGADOS COMPLETO</t>
        </is>
      </c>
      <c r="D8" s="44">
        <f>COUNTIF(Ventas!AL4:AL153,"PAGADO COMPLETO")</f>
        <v/>
      </c>
    </row>
    <row r="9" ht="22" customHeight="1">
      <c r="B9" s="45" t="inlineStr">
        <is>
          <t>Deals EN REPO</t>
        </is>
      </c>
      <c r="D9" s="46">
        <f>COUNTIF(Ventas!AL4:AL153,"EN REPO")</f>
        <v/>
      </c>
    </row>
    <row r="10" ht="22" customHeight="1">
      <c r="B10" s="43" t="inlineStr">
        <is>
          <t>Deals CANCELADOS</t>
        </is>
      </c>
      <c r="D10" s="47">
        <f>COUNTIF(Ventas!AL4:AL153,"CANCELADO")</f>
        <v/>
      </c>
    </row>
    <row r="11" ht="22" customHeight="1">
      <c r="B11" s="45" t="inlineStr">
        <is>
          <t>Saldo Total PENDIENTE</t>
        </is>
      </c>
      <c r="D11" s="48">
        <f>SUM(Ventas!AI4:AI153)</f>
        <v/>
      </c>
    </row>
    <row r="12" ht="22" customHeight="1">
      <c r="B12" s="43" t="inlineStr">
        <is>
          <t>Total COMISIONES</t>
        </is>
      </c>
      <c r="D12" s="49">
        <f>SUM(Ventas!AM4:AM153)</f>
        <v/>
      </c>
    </row>
    <row r="13" ht="22" customHeight="1">
      <c r="B13" s="45" t="inlineStr">
        <is>
          <t>Pagos VENCIDOS (total)</t>
        </is>
      </c>
      <c r="D13" s="46">
        <f>COUNTIF(Ventas!W4:AG153,"VENCIDO")</f>
        <v/>
      </c>
    </row>
    <row r="14" ht="22" customHeight="1">
      <c r="B14" s="43" t="inlineStr">
        <is>
          <t>Pagos PENDIENTES</t>
        </is>
      </c>
      <c r="D14" s="50">
        <f>COUNTIF(Ventas!W4:AG153,"PENDIENTE")</f>
        <v/>
      </c>
    </row>
    <row r="15" ht="22" customHeight="1">
      <c r="B15" s="45" t="inlineStr">
        <is>
          <t>Precio Promedio por Venta</t>
        </is>
      </c>
      <c r="D15" s="51">
        <f>IFERROR(AVERAGE(Ventas!N4:N153),0)</f>
        <v/>
      </c>
    </row>
    <row r="16" ht="22" customHeight="1">
      <c r="B16" s="43" t="inlineStr">
        <is>
          <t>Enganche Promedio</t>
        </is>
      </c>
      <c r="D16" s="51">
        <f>IFERROR(AVERAGE(Ventas!O4:O153),0)</f>
        <v/>
      </c>
    </row>
  </sheetData>
  <mergeCells count="22">
    <mergeCell ref="D11:F11"/>
    <mergeCell ref="D13:F13"/>
    <mergeCell ref="B16:C16"/>
    <mergeCell ref="B7:C7"/>
    <mergeCell ref="D7:F7"/>
    <mergeCell ref="D16:F16"/>
    <mergeCell ref="B12:C12"/>
    <mergeCell ref="A2:F2"/>
    <mergeCell ref="B11:C11"/>
    <mergeCell ref="D12:F12"/>
    <mergeCell ref="D9:F9"/>
    <mergeCell ref="B14:C14"/>
    <mergeCell ref="D8:F8"/>
    <mergeCell ref="B8:C8"/>
    <mergeCell ref="D15:F15"/>
    <mergeCell ref="B13:C13"/>
    <mergeCell ref="D14:F14"/>
    <mergeCell ref="B10:C10"/>
    <mergeCell ref="B9:C9"/>
    <mergeCell ref="D10:F10"/>
    <mergeCell ref="B15:C15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8F4E"/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0" customWidth="1" min="3" max="3"/>
    <col width="5" customWidth="1" min="4" max="4"/>
  </cols>
  <sheetData>
    <row r="1" ht="44" customHeight="1">
      <c r="A1" s="52" t="inlineStr">
        <is>
          <t>AUTOMALL  ·  GUÍA DE USO</t>
        </is>
      </c>
    </row>
    <row r="3" ht="20" customHeight="1">
      <c r="B3" s="53" t="inlineStr">
        <is>
          <t xml:space="preserve">  COLUMNAS AUTOMÁTICAS</t>
        </is>
      </c>
      <c r="C3" s="54" t="inlineStr">
        <is>
          <t xml:space="preserve">  Estas columnas se calculan solas — NO las edites manualmente:</t>
        </is>
      </c>
    </row>
    <row r="4" ht="20" customHeight="1">
      <c r="B4" s="55" t="inlineStr">
        <is>
          <t>Monto Financiado (P)</t>
        </is>
      </c>
      <c r="C4" s="35">
        <f> Precio Venta − Enganche  (solo si Pick Payment = SÍ)</f>
        <v/>
      </c>
    </row>
    <row r="5" ht="20" customHeight="1">
      <c r="B5" s="56" t="inlineStr">
        <is>
          <t>Día de Pago (T)</t>
        </is>
      </c>
      <c r="C5" s="29">
        <f> Día de semana del 1er pago (Lunes, Martes…) — calculado automático</f>
        <v/>
      </c>
    </row>
    <row r="6" ht="20" customHeight="1">
      <c r="B6" s="55" t="inlineStr">
        <is>
          <t>Cuota Semanal (U)</t>
        </is>
      </c>
      <c r="C6" s="35">
        <f> Monto Financiado ÷ # Cuotas</f>
        <v/>
      </c>
    </row>
    <row r="7" ht="20" customHeight="1">
      <c r="B7" s="56" t="inlineStr">
        <is>
          <t>Fechas Pago 2–6 (X,Z,AB,AD,AF)</t>
        </is>
      </c>
      <c r="C7" s="29">
        <f> Fecha anterior + 7 días (mismo día de la semana siempre)</f>
        <v/>
      </c>
    </row>
    <row r="8" ht="20" customHeight="1">
      <c r="B8" s="55" t="inlineStr">
        <is>
          <t>Total Cobrado (AH)</t>
        </is>
      </c>
      <c r="C8" s="35">
        <f> Suma de cuotas marcadas como PAGADO</f>
        <v/>
      </c>
    </row>
    <row r="9" ht="20" customHeight="1">
      <c r="B9" s="56" t="inlineStr">
        <is>
          <t>Saldo Pendiente (AI)</t>
        </is>
      </c>
      <c r="C9" s="29">
        <f> Monto Financiado − Total Cobrado</f>
        <v/>
      </c>
    </row>
    <row r="10" ht="8" customHeight="1"/>
    <row r="11" ht="20" customHeight="1">
      <c r="B11" s="53" t="inlineStr">
        <is>
          <t xml:space="preserve">  CÓMO REGISTRAR UNA VENTA</t>
        </is>
      </c>
      <c r="C11" s="54" t="inlineStr">
        <is>
          <t xml:space="preserve">  Sigue estos pasos en orden:</t>
        </is>
      </c>
    </row>
    <row r="12" ht="20" customHeight="1">
      <c r="B12" s="55" t="inlineStr">
        <is>
          <t>Paso 1 — Fecha</t>
        </is>
      </c>
      <c r="C12" s="35" t="inlineStr">
        <is>
          <t>Ingresa la fecha de la venta en columna B (formato MM/DD/AAAA)</t>
        </is>
      </c>
    </row>
    <row r="13" ht="20" customHeight="1">
      <c r="B13" s="56" t="inlineStr">
        <is>
          <t>Paso 2 — Cliente</t>
        </is>
      </c>
      <c r="C13" s="29" t="inlineStr">
        <is>
          <t>Llena nombre, teléfono, email, referido por, y fuente (dropdown)</t>
        </is>
      </c>
    </row>
    <row r="14" ht="20" customHeight="1">
      <c r="B14" s="55" t="inlineStr">
        <is>
          <t>Paso 3 — Vehículo</t>
        </is>
      </c>
      <c r="C14" s="35" t="inlineStr">
        <is>
          <t>Marca, modelo, año, color, VIN, y millaje</t>
        </is>
      </c>
    </row>
    <row r="15" ht="20" customHeight="1">
      <c r="B15" s="56" t="inlineStr">
        <is>
          <t>Paso 4 — Precio y Enganche</t>
        </is>
      </c>
      <c r="C15" s="29" t="inlineStr">
        <is>
          <t>Ingresa precio de venta y enganche en columnas N y O</t>
        </is>
      </c>
    </row>
    <row r="16" ht="20" customHeight="1">
      <c r="B16" s="55" t="inlineStr">
        <is>
          <t>Paso 5 — Pick Payment</t>
        </is>
      </c>
      <c r="C16" s="35" t="inlineStr">
        <is>
          <t>Selecciona SÍ o NO en columna Q. Si es SÍ, ingresa # cuotas (default 6) y la fecha del 1er pago</t>
        </is>
      </c>
    </row>
    <row r="17" ht="20" customHeight="1">
      <c r="B17" s="56" t="inlineStr">
        <is>
          <t>Paso 6 — Pagos semanales</t>
        </is>
      </c>
      <c r="C17" s="29" t="inlineStr">
        <is>
          <t>Las fechas de pago se calculan automáticamente. Solo cambia el ESTATUS cuando el cliente pague: PAGADO / VENCIDO / NO PAGÓ / PENDIENTE</t>
        </is>
      </c>
    </row>
    <row r="18" ht="20" customHeight="1">
      <c r="B18" s="55" t="inlineStr">
        <is>
          <t>Paso 7 — Cierre</t>
        </is>
      </c>
      <c r="C18" s="35" t="inlineStr">
        <is>
          <t>Cuando se complete, cambia Estatus Deal a PAGADO COMPLETO</t>
        </is>
      </c>
    </row>
    <row r="19" ht="8" customHeight="1"/>
    <row r="20" ht="20" customHeight="1">
      <c r="B20" s="53" t="inlineStr">
        <is>
          <t xml:space="preserve">  COLORES DE REFERENCIA</t>
        </is>
      </c>
      <c r="C20" s="54" t="inlineStr">
        <is>
          <t xml:space="preserve">  Significado de colores en columnas de estatus:</t>
        </is>
      </c>
    </row>
    <row r="21" ht="20" customHeight="1">
      <c r="B21" s="56" t="inlineStr">
        <is>
          <t>Verde claro</t>
        </is>
      </c>
      <c r="C21" s="29" t="inlineStr">
        <is>
          <t>PAGADO — El cliente realizó el pago correctamente</t>
        </is>
      </c>
    </row>
    <row r="22" ht="20" customHeight="1">
      <c r="B22" s="55" t="inlineStr">
        <is>
          <t>Rojo claro</t>
        </is>
      </c>
      <c r="C22" s="35" t="inlineStr">
        <is>
          <t>VENCIDO — La fecha de pago pasó y no pagó</t>
        </is>
      </c>
    </row>
    <row r="23" ht="20" customHeight="1">
      <c r="B23" s="56" t="inlineStr">
        <is>
          <t>Rojo oscuro</t>
        </is>
      </c>
      <c r="C23" s="29" t="inlineStr">
        <is>
          <t>NO PAGÓ — Se confirmó que no va a pagar</t>
        </is>
      </c>
    </row>
    <row r="24" ht="20" customHeight="1">
      <c r="B24" s="55" t="inlineStr">
        <is>
          <t>Amarillo</t>
        </is>
      </c>
      <c r="C24" s="35" t="inlineStr">
        <is>
          <t>PENDIENTE — Pago próximo o en proceso</t>
        </is>
      </c>
    </row>
    <row r="25" ht="8" customHeight="1"/>
    <row r="26" ht="20" customHeight="1">
      <c r="B26" s="53" t="inlineStr">
        <is>
          <t xml:space="preserve">  CONSEJOS</t>
        </is>
      </c>
      <c r="C26" s="54" t="inlineStr">
        <is>
          <t xml:space="preserve">  Mejores prácticas para mantener el control:</t>
        </is>
      </c>
    </row>
    <row r="27" ht="20" customHeight="1">
      <c r="B27" s="56" t="inlineStr">
        <is>
          <t>GPS</t>
        </is>
      </c>
      <c r="C27" s="29" t="inlineStr">
        <is>
          <t>Registra si instalaste GPS en columna AK — clave para recuperaciones</t>
        </is>
      </c>
    </row>
    <row r="28" ht="20" customHeight="1">
      <c r="B28" s="55" t="inlineStr">
        <is>
          <t>Notas</t>
        </is>
      </c>
      <c r="C28" s="35" t="inlineStr">
        <is>
          <t>Usa la columna AN para observaciones: carros trade-in, garantía, situación especial</t>
        </is>
      </c>
    </row>
    <row r="29" ht="20" customHeight="1">
      <c r="B29" s="56" t="inlineStr">
        <is>
          <t>Comisión</t>
        </is>
      </c>
      <c r="C29" s="29" t="inlineStr">
        <is>
          <t>Registra tu comisión en columna AM para llevar el control de ingresos</t>
        </is>
      </c>
    </row>
    <row r="30" ht="20" customHeight="1">
      <c r="B30" s="55" t="inlineStr">
        <is>
          <t>Dashboard</t>
        </is>
      </c>
      <c r="C30" s="35" t="inlineStr">
        <is>
          <t>Revisa la hoja 'Dashboard' para ver resumen general de todas las ventas</t>
        </is>
      </c>
    </row>
    <row r="31" ht="20" customHeight="1">
      <c r="B31" s="56" t="inlineStr">
        <is>
          <t>Backup</t>
        </is>
      </c>
      <c r="C31" s="29" t="inlineStr">
        <is>
          <t>Guarda una copia del archivo al final de cada semana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A6A7E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8" customHeight="1">
      <c r="A1" s="57" t="inlineStr">
        <is>
          <t>CATÁLOGOS — Listas de referencia para el Excel</t>
        </is>
      </c>
    </row>
    <row r="3" ht="26" customHeight="1">
      <c r="B3" s="36" t="inlineStr">
        <is>
          <t>MARCAS DE AUTOS</t>
        </is>
      </c>
      <c r="C3" s="36" t="inlineStr">
        <is>
          <t>FUENTES DE VENTA</t>
        </is>
      </c>
      <c r="D3" s="36" t="inlineStr">
        <is>
          <t>FINANCIERAS / BANCOS</t>
        </is>
      </c>
      <c r="E3" s="36" t="inlineStr">
        <is>
          <t>REFERIDOS FRECUENTES</t>
        </is>
      </c>
    </row>
    <row r="4" ht="18" customHeight="1">
      <c r="B4" s="58" t="inlineStr">
        <is>
          <t>Toyota</t>
        </is>
      </c>
      <c r="C4" s="58" t="inlineStr">
        <is>
          <t>REFERIDO</t>
        </is>
      </c>
      <c r="D4" s="58" t="inlineStr">
        <is>
          <t>Cash (Contado)</t>
        </is>
      </c>
      <c r="E4" s="58" t="inlineStr">
        <is>
          <t>— Agregar nombres aquí —</t>
        </is>
      </c>
    </row>
    <row r="5" ht="18" customHeight="1">
      <c r="B5" s="59" t="inlineStr">
        <is>
          <t>Ford</t>
        </is>
      </c>
      <c r="C5" s="59" t="inlineStr">
        <is>
          <t>WALK-IN</t>
        </is>
      </c>
      <c r="D5" s="59" t="inlineStr">
        <is>
          <t>DriveTime</t>
        </is>
      </c>
      <c r="E5" s="59" t="inlineStr">
        <is>
          <t>(Ejemplo: Juan Pérez)</t>
        </is>
      </c>
    </row>
    <row r="6" ht="18" customHeight="1">
      <c r="B6" s="58" t="inlineStr">
        <is>
          <t>Chevrolet</t>
        </is>
      </c>
      <c r="C6" s="58" t="inlineStr">
        <is>
          <t>INTERNET</t>
        </is>
      </c>
      <c r="D6" s="58" t="inlineStr">
        <is>
          <t>CarMax Auto Finance</t>
        </is>
      </c>
      <c r="E6" s="58" t="inlineStr">
        <is>
          <t>(Ejemplo: María García)</t>
        </is>
      </c>
    </row>
    <row r="7" ht="18" customHeight="1">
      <c r="B7" s="59" t="inlineStr">
        <is>
          <t>Nissan</t>
        </is>
      </c>
      <c r="C7" s="59" t="inlineStr">
        <is>
          <t>REPEAT</t>
        </is>
      </c>
      <c r="D7" s="59" t="inlineStr">
        <is>
          <t>Westlake Financial</t>
        </is>
      </c>
      <c r="E7" s="59" t="inlineStr">
        <is>
          <t>(Ejemplo: Carlos López)</t>
        </is>
      </c>
    </row>
    <row r="8" ht="18" customHeight="1">
      <c r="B8" s="58" t="inlineStr">
        <is>
          <t>GMC</t>
        </is>
      </c>
      <c r="C8" s="58" t="inlineStr">
        <is>
          <t>REDES SOCIALES</t>
        </is>
      </c>
      <c r="D8" s="58" t="inlineStr">
        <is>
          <t>Ally Financial</t>
        </is>
      </c>
    </row>
    <row r="9" ht="18" customHeight="1">
      <c r="B9" s="59" t="inlineStr">
        <is>
          <t>Dodge</t>
        </is>
      </c>
      <c r="C9" s="59" t="inlineStr">
        <is>
          <t>ANUNCIO</t>
        </is>
      </c>
      <c r="D9" s="59" t="inlineStr">
        <is>
          <t>Capital One Auto</t>
        </is>
      </c>
    </row>
    <row r="10" ht="18" customHeight="1">
      <c r="B10" s="58" t="inlineStr">
        <is>
          <t>Jeep</t>
        </is>
      </c>
      <c r="C10" s="58" t="inlineStr">
        <is>
          <t>CRAIGSLIST</t>
        </is>
      </c>
      <c r="D10" s="58" t="inlineStr">
        <is>
          <t>CUDL</t>
        </is>
      </c>
    </row>
    <row r="11" ht="18" customHeight="1">
      <c r="B11" s="59" t="inlineStr">
        <is>
          <t>Mazda</t>
        </is>
      </c>
      <c r="C11" s="59" t="inlineStr">
        <is>
          <t>FACEBOOK MARKETPLACE</t>
        </is>
      </c>
      <c r="D11" s="59" t="inlineStr">
        <is>
          <t>CAC (Credit Acceptance)</t>
        </is>
      </c>
    </row>
    <row r="12" ht="18" customHeight="1">
      <c r="B12" s="58" t="inlineStr">
        <is>
          <t>Mercedes-Benz</t>
        </is>
      </c>
      <c r="C12" s="58" t="inlineStr">
        <is>
          <t>OTRO</t>
        </is>
      </c>
      <c r="D12" s="58" t="inlineStr">
        <is>
          <t>JM Family</t>
        </is>
      </c>
    </row>
    <row r="13" ht="18" customHeight="1">
      <c r="B13" s="59" t="inlineStr">
        <is>
          <t>Honda</t>
        </is>
      </c>
      <c r="D13" s="59" t="inlineStr">
        <is>
          <t>Santander Consumer</t>
        </is>
      </c>
    </row>
    <row r="14" ht="18" customHeight="1">
      <c r="B14" s="58" t="inlineStr">
        <is>
          <t>Hyundai</t>
        </is>
      </c>
      <c r="D14" s="58" t="inlineStr">
        <is>
          <t>TD Auto Finance</t>
        </is>
      </c>
    </row>
    <row r="15" ht="18" customHeight="1">
      <c r="B15" s="59" t="inlineStr">
        <is>
          <t>Kia</t>
        </is>
      </c>
      <c r="D15" s="59" t="inlineStr">
        <is>
          <t>Exeter Finance</t>
        </is>
      </c>
    </row>
    <row r="16" ht="18" customHeight="1">
      <c r="B16" s="58" t="inlineStr">
        <is>
          <t>BMW</t>
        </is>
      </c>
      <c r="D16" s="58" t="inlineStr">
        <is>
          <t>AmeriCredit (GM Financial)</t>
        </is>
      </c>
    </row>
    <row r="17" ht="18" customHeight="1">
      <c r="B17" s="59" t="inlineStr">
        <is>
          <t>Volkswagen</t>
        </is>
      </c>
      <c r="D17" s="59" t="inlineStr">
        <is>
          <t>Southeast Toyota Finance</t>
        </is>
      </c>
    </row>
    <row r="18" ht="18" customHeight="1">
      <c r="B18" s="58" t="inlineStr">
        <is>
          <t>Chrysler</t>
        </is>
      </c>
      <c r="D18" s="58" t="inlineStr">
        <is>
          <t>Otro</t>
        </is>
      </c>
    </row>
    <row r="19" ht="18" customHeight="1">
      <c r="B19" s="59" t="inlineStr">
        <is>
          <t>RAM</t>
        </is>
      </c>
    </row>
    <row r="20" ht="18" customHeight="1">
      <c r="B20" s="58" t="inlineStr">
        <is>
          <t>Cadillac</t>
        </is>
      </c>
    </row>
    <row r="21" ht="18" customHeight="1">
      <c r="B21" s="59" t="inlineStr">
        <is>
          <t>Buick</t>
        </is>
      </c>
    </row>
    <row r="22" ht="18" customHeight="1">
      <c r="B22" s="58" t="inlineStr">
        <is>
          <t>Lincoln</t>
        </is>
      </c>
    </row>
    <row r="23" ht="18" customHeight="1">
      <c r="B23" s="59" t="inlineStr">
        <is>
          <t>Acura</t>
        </is>
      </c>
    </row>
    <row r="24" ht="18" customHeight="1">
      <c r="B24" s="58" t="inlineStr">
        <is>
          <t>Subaru</t>
        </is>
      </c>
    </row>
    <row r="25" ht="18" customHeight="1">
      <c r="B25" s="59" t="inlineStr">
        <is>
          <t>Mitsubishi</t>
        </is>
      </c>
    </row>
    <row r="26" ht="18" customHeight="1">
      <c r="B26" s="58" t="inlineStr">
        <is>
          <t>Lexus</t>
        </is>
      </c>
    </row>
    <row r="27" ht="18" customHeight="1">
      <c r="B27" s="59" t="inlineStr">
        <is>
          <t>Audi</t>
        </is>
      </c>
    </row>
    <row r="28" ht="18" customHeight="1">
      <c r="B28" s="58" t="inlineStr">
        <is>
          <t>Infiniti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2026-03-02T17:59:39Z</dcterms:created>
  <dcterms:modified xsi:type="dcterms:W3CDTF">2026-03-02T17:59:40Z</dcterms:modified>
</cp:coreProperties>
</file>